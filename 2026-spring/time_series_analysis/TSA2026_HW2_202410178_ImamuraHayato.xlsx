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71" yWindow="651" windowWidth="21275" windowHeight="16800" tabRatio="600" firstSheet="0" activeTab="0" autoFilterDateGrouping="1"/>
  </bookViews>
  <sheets>
    <sheet name="解答例(a)" sheetId="1" state="visible" r:id="rId1"/>
    <sheet name="(b)" sheetId="2" state="visible" r:id="rId2"/>
    <sheet name="(c)" sheetId="3" state="visible" r:id="rId3"/>
    <sheet name="(d)" sheetId="4" state="visible" r:id="rId4"/>
    <sheet name="(e)" sheetId="5" state="visible" r:id="rId5"/>
    <sheet name="長期的" sheetId="6" state="visible" r:id="rId6"/>
    <sheet name="累積的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rgb="FFFF0000"/>
      <sz val="11"/>
      <scheme val="minor"/>
    </font>
    <font>
      <name val="Yu Gothic"/>
      <family val="2"/>
      <color rgb="FF002060"/>
      <sz val="11"/>
      <scheme val="minor"/>
    </font>
    <font>
      <name val="Yu Gothic"/>
      <charset val="128"/>
      <family val="3"/>
      <color rgb="FF002060"/>
      <sz val="11"/>
      <scheme val="minor"/>
    </font>
    <font>
      <name val="Yu Gothic"/>
      <family val="2"/>
      <color rgb="FF0070C0"/>
      <sz val="11"/>
      <scheme val="minor"/>
    </font>
    <font>
      <name val="Yu Gothic"/>
      <charset val="128"/>
      <family val="3"/>
      <color rgb="FF0070C0"/>
      <sz val="11"/>
      <scheme val="minor"/>
    </font>
    <font>
      <name val="Yu Gothic"/>
      <family val="2"/>
      <color theme="5" tint="-0.499984740745262"/>
      <sz val="11"/>
      <scheme val="minor"/>
    </font>
    <font>
      <name val="Yu Gothic"/>
      <charset val="128"/>
      <family val="3"/>
      <color theme="5" tint="-0.499984740745262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b val="1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5" fillId="0" borderId="2" pivotButton="0" quotePrefix="0" xfId="0"/>
    <xf numFmtId="0" fontId="6" fillId="0" borderId="4" pivotButton="0" quotePrefix="0" xfId="0"/>
    <xf numFmtId="0" fontId="6" fillId="0" borderId="6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3" pivotButton="0" quotePrefix="0" xfId="0"/>
    <xf numFmtId="0" fontId="8" fillId="0" borderId="5" pivotButton="0" quotePrefix="0" xfId="0"/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0" fillId="0" borderId="11" pivotButton="0" quotePrefix="0" xfId="0"/>
    <xf numFmtId="0" fontId="4" fillId="0" borderId="16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0" fillId="5" borderId="0" applyAlignment="1" pivotButton="0" quotePrefix="0" xfId="0">
      <alignment wrapText="1"/>
    </xf>
    <xf numFmtId="0" fontId="9" fillId="3" borderId="0" applyAlignment="1" pivotButton="0" quotePrefix="0" xfId="0">
      <alignment horizontal="left"/>
    </xf>
    <xf numFmtId="0" fontId="10" fillId="0" borderId="0" applyAlignment="1" pivotButton="0" quotePrefix="0" xfId="0">
      <alignment vertical="top" wrapText="1"/>
    </xf>
    <xf numFmtId="0" fontId="11" fillId="3" borderId="18" applyAlignment="1" pivotButton="0" quotePrefix="0" xfId="0">
      <alignment horizontal="center" vertical="center" wrapText="1"/>
    </xf>
    <xf numFmtId="0" fontId="11" fillId="3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64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64" fontId="0" fillId="4" borderId="22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164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1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23" applyAlignment="1" pivotButton="0" quotePrefix="0" xfId="0">
      <alignment horizontal="center" vertical="center" wrapText="1"/>
    </xf>
    <xf numFmtId="164" fontId="0" fillId="4" borderId="25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solidFill>
                  <a:sysClr val="windowText" lastClr="000000"/>
                </a:solidFill>
              </a:rPr>
              <a:t>幾何的に減衰する</a:t>
            </a:r>
            <a:r>
              <a:rPr lang="en-US" altLang="ja-JP">
                <a:solidFill>
                  <a:sysClr val="windowText" lastClr="000000"/>
                </a:solidFill>
              </a:rPr>
              <a:t>Ydiff</a:t>
            </a:r>
            <a:endParaRPr lang="ja-JP" altLang="en-US">
              <a:solidFill>
                <a:sysClr val="windowText" lastClr="000000"/>
              </a:solidFill>
            </a:endParaRPr>
          </a:p>
        </rich>
      </tx>
      <overlay val="0"/>
      <spPr>
        <a:solidFill>
          <a:schemeClr val="accent4">
            <a:lumMod val="20000"/>
            <a:lumOff val="80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'解答例(a)'!$J$21:$J$31</f>
              <numCache>
                <formatCode>General</formatCode>
                <ptCount val="11"/>
                <pt idx="0">
                  <v>1</v>
                </pt>
                <pt idx="1">
                  <v>0.5</v>
                </pt>
                <pt idx="2">
                  <v>0.25</v>
                </pt>
                <pt idx="3">
                  <v>0.125</v>
                </pt>
                <pt idx="4">
                  <v>0.0625</v>
                </pt>
                <pt idx="5">
                  <v>0.03125</v>
                </pt>
                <pt idx="6">
                  <v>0.015625</v>
                </pt>
                <pt idx="7">
                  <v>0.0078125</v>
                </pt>
                <pt idx="8">
                  <v>0.00390625</v>
                </pt>
                <pt idx="9">
                  <v>0.001953125</v>
                </pt>
                <pt idx="10">
                  <v>0.0009765625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2180600"/>
        <axId val="704156128"/>
      </lineChart>
      <catAx>
        <axId val="53218060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704156128"/>
        <crosses val="autoZero"/>
        <auto val="1"/>
        <lblAlgn val="ctr"/>
        <lblOffset val="100"/>
        <noMultiLvlLbl val="0"/>
      </catAx>
      <valAx>
        <axId val="704156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53218060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Y0</a:t>
            </a:r>
            <a:r>
              <a:rPr lang="ja-JP" altLang="en-US"/>
              <a:t>と</a:t>
            </a:r>
            <a:r>
              <a:rPr lang="en-US" altLang="ja-JP"/>
              <a:t>Y1</a:t>
            </a:r>
            <a:endParaRPr lang="ja-JP" alt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'解答例(a)'!$E$10</f>
              <strCache>
                <ptCount val="1"/>
                <pt idx="0">
                  <v>Y0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'解答例(a)'!$E$11:$E$31</f>
              <numCache>
                <formatCode>General</formatCode>
                <ptCount val="21"/>
                <pt idx="0">
                  <v>0</v>
                </pt>
                <pt idx="1">
                  <v>0.85</v>
                </pt>
                <pt idx="2">
                  <v>-0.445</v>
                </pt>
                <pt idx="3">
                  <v>0.2375</v>
                </pt>
                <pt idx="4">
                  <v>0.47875</v>
                </pt>
                <pt idx="5">
                  <v>0.209375</v>
                </pt>
                <pt idx="6">
                  <v>0.8846875000000001</v>
                </pt>
                <pt idx="7">
                  <v>-0.3776562499999999</v>
                </pt>
                <pt idx="8">
                  <v>1.011171875</v>
                </pt>
                <pt idx="9">
                  <v>1.8855859375</v>
                </pt>
                <pt idx="10">
                  <v>0.44279296875</v>
                </pt>
                <pt idx="11">
                  <v>1.551396484375</v>
                </pt>
                <pt idx="12">
                  <v>0.0956982421875</v>
                </pt>
                <pt idx="13">
                  <v>3.13784912109375</v>
                </pt>
                <pt idx="14">
                  <v>1.108924560546875</v>
                </pt>
                <pt idx="15">
                  <v>-0.7855377197265626</v>
                </pt>
                <pt idx="16">
                  <v>-1.672768859863281</v>
                </pt>
                <pt idx="17">
                  <v>-1.346384429931641</v>
                </pt>
                <pt idx="18">
                  <v>-0.7431922149658203</v>
                </pt>
                <pt idx="19">
                  <v>-0.8815961074829102</v>
                </pt>
                <pt idx="20">
                  <v>-1.370798053741455</v>
                </pt>
              </numCache>
            </numRef>
          </val>
          <smooth val="0"/>
        </ser>
        <ser>
          <idx val="1"/>
          <order val="1"/>
          <tx>
            <strRef>
              <f>'解答例(a)'!$H$10</f>
              <strCache>
                <ptCount val="1"/>
                <pt idx="0">
                  <v>Y1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'解答例(a)'!$H$11:$H$31</f>
              <numCache>
                <formatCode>General</formatCode>
                <ptCount val="21"/>
                <pt idx="0">
                  <v>0</v>
                </pt>
                <pt idx="1">
                  <v>0.85</v>
                </pt>
                <pt idx="2">
                  <v>-0.445</v>
                </pt>
                <pt idx="3">
                  <v>0.2375</v>
                </pt>
                <pt idx="4">
                  <v>0.47875</v>
                </pt>
                <pt idx="5">
                  <v>0.209375</v>
                </pt>
                <pt idx="6">
                  <v>0.8846875000000001</v>
                </pt>
                <pt idx="7">
                  <v>-0.3776562499999999</v>
                </pt>
                <pt idx="8">
                  <v>1.011171875</v>
                </pt>
                <pt idx="9">
                  <v>1.8855859375</v>
                </pt>
                <pt idx="10">
                  <v>1.44279296875</v>
                </pt>
                <pt idx="11">
                  <v>2.051396484375</v>
                </pt>
                <pt idx="12">
                  <v>0.3456982421875</v>
                </pt>
                <pt idx="13">
                  <v>3.26284912109375</v>
                </pt>
                <pt idx="14">
                  <v>1.171424560546875</v>
                </pt>
                <pt idx="15">
                  <v>-0.7542877197265626</v>
                </pt>
                <pt idx="16">
                  <v>-1.657143859863281</v>
                </pt>
                <pt idx="17">
                  <v>-1.338571929931641</v>
                </pt>
                <pt idx="18">
                  <v>-0.7392859649658203</v>
                </pt>
                <pt idx="19">
                  <v>-0.8796429824829102</v>
                </pt>
                <pt idx="20">
                  <v>-1.369821491241455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16935776"/>
        <axId val="716936104"/>
      </lineChart>
      <catAx>
        <axId val="71693577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716936104"/>
        <crosses val="autoZero"/>
        <auto val="1"/>
        <lblAlgn val="ctr"/>
        <lblOffset val="100"/>
        <noMultiLvlLbl val="0"/>
      </catAx>
      <valAx>
        <axId val="7169361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7169357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(b): Ydiff</a:t>
            </a:r>
          </a:p>
        </rich>
      </tx>
    </title>
    <plotArea>
      <lineChart>
        <grouping val="standard"/>
        <ser>
          <idx val="0"/>
          <order val="0"/>
          <tx>
            <strRef>
              <f>'(b)'!J9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'(b)'!$C$10:$C$30</f>
            </numRef>
          </cat>
          <val>
            <numRef>
              <f>'(b)'!$J$10:$J$30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Ydiff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(c): Ydiff</a:t>
            </a:r>
          </a:p>
        </rich>
      </tx>
    </title>
    <plotArea>
      <lineChart>
        <grouping val="standard"/>
        <ser>
          <idx val="0"/>
          <order val="0"/>
          <tx>
            <strRef>
              <f>'(c)'!J9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'(c)'!$C$10:$C$30</f>
            </numRef>
          </cat>
          <val>
            <numRef>
              <f>'(c)'!$J$10:$J$30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Ydiff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(d): Ydiff</a:t>
            </a:r>
          </a:p>
        </rich>
      </tx>
    </title>
    <plotArea>
      <lineChart>
        <grouping val="standard"/>
        <ser>
          <idx val="0"/>
          <order val="0"/>
          <tx>
            <strRef>
              <f>'(d)'!J9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'(d)'!$C$10:$C$30</f>
            </numRef>
          </cat>
          <val>
            <numRef>
              <f>'(d)'!$J$10:$J$30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Ydiff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(e): Ydiff</a:t>
            </a:r>
          </a:p>
        </rich>
      </tx>
    </title>
    <plotArea>
      <lineChart>
        <grouping val="standard"/>
        <ser>
          <idx val="0"/>
          <order val="0"/>
          <tx>
            <strRef>
              <f>'(e)'!J9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'(e)'!$C$10:$C$30</f>
            </numRef>
          </cat>
          <val>
            <numRef>
              <f>'(e)'!$J$10:$J$30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Ydiff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長期的な効果</a:t>
            </a:r>
          </a:p>
        </rich>
      </tx>
    </title>
    <plotArea>
      <lineChart>
        <grouping val="standard"/>
        <ser>
          <idx val="0"/>
          <order val="0"/>
          <tx>
            <strRef>
              <f>'長期的'!J9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'長期的'!$C$10:$C$30</f>
            </numRef>
          </cat>
          <val>
            <numRef>
              <f>'長期的'!$J$10:$J$30</f>
            </numRef>
          </val>
        </ser>
        <ser>
          <idx val="1"/>
          <order val="1"/>
          <tx>
            <strRef>
              <f>'長期的'!M9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'長期的'!$C$10:$C$30</f>
            </numRef>
          </cat>
          <val>
            <numRef>
              <f>'長期的'!$M$10:$M$30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Ydiff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累積的な影響</a:t>
            </a:r>
          </a:p>
        </rich>
      </tx>
    </title>
    <plotArea>
      <lineChart>
        <grouping val="standard"/>
        <ser>
          <idx val="0"/>
          <order val="0"/>
          <tx>
            <strRef>
              <f>'累積的'!E9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'累積的'!$C$10:$C$30</f>
            </numRef>
          </cat>
          <val>
            <numRef>
              <f>'累積的'!$E$10:$E$30</f>
            </numRef>
          </val>
        </ser>
        <ser>
          <idx val="1"/>
          <order val="1"/>
          <tx>
            <strRef>
              <f>'累積的'!H9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'累積的'!$C$10:$C$30</f>
            </numRef>
          </cat>
          <val>
            <numRef>
              <f>'累積的'!$H$10:$H$30</f>
            </numRef>
          </val>
        </ser>
        <ser>
          <idx val="2"/>
          <order val="2"/>
          <tx>
            <strRef>
              <f>'累積的'!K9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'累積的'!$C$10:$C$30</f>
            </numRef>
          </cat>
          <val>
            <numRef>
              <f>'累積的'!$K$10:$K$30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累積和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609599</colOff>
      <row>23</row>
      <rowOff>123825</rowOff>
    </from>
    <to>
      <col>16</col>
      <colOff>90486</colOff>
      <row>34</row>
      <rowOff>33337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547687</colOff>
      <row>9</row>
      <rowOff>195261</rowOff>
    </from>
    <to>
      <col>15</col>
      <colOff>666750</colOff>
      <row>20</row>
      <rowOff>219075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M31"/>
  <sheetViews>
    <sheetView tabSelected="1" workbookViewId="0">
      <selection activeCell="A10" sqref="A10"/>
    </sheetView>
  </sheetViews>
  <sheetFormatPr baseColWidth="8" defaultRowHeight="18.45"/>
  <sheetData>
    <row r="2">
      <c r="C2" s="22" t="inlineStr">
        <is>
          <t>【説明】</t>
        </is>
      </c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4" t="n"/>
    </row>
    <row r="3">
      <c r="C3" s="25" t="inlineStr">
        <is>
          <t>(1) このシートを参考に、適宜、レポートに図表を貼り付けながら考察をまとめてください。</t>
        </is>
      </c>
      <c r="M3" s="26" t="n"/>
    </row>
    <row r="4">
      <c r="C4" s="25" t="inlineStr">
        <is>
          <t>(2) 評価物のメインはレポートですが、エクセルも確認しますので、他者が見て分かるようにしてください。</t>
        </is>
      </c>
      <c r="M4" s="26" t="n"/>
    </row>
    <row r="5">
      <c r="C5" s="25" t="inlineStr">
        <is>
          <t>(3) このシートは、(a) の例を示しています。適宜シートを分けて、(b)から「累積的な影響」まで実験してください。</t>
        </is>
      </c>
      <c r="M5" s="26" t="n"/>
    </row>
    <row r="6">
      <c r="C6" s="25" t="inlineStr">
        <is>
          <t>(4)「 数式」タブ→「数式の表示」を押すと、どのような計算をしているか分かります。図は「挿入」→「グラフ」です。</t>
        </is>
      </c>
      <c r="M6" s="26" t="n"/>
    </row>
    <row r="7">
      <c r="C7" s="27" t="inlineStr">
        <is>
          <t>(5) さらなる発展的な実験・考察も歓迎します。（太枠内の変更も可）</t>
        </is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n"/>
    </row>
    <row r="9" ht="18.9" customHeight="1" thickBot="1">
      <c r="C9" s="3" t="inlineStr">
        <is>
          <t>この数値例を使ってください</t>
        </is>
      </c>
      <c r="E9" t="inlineStr">
        <is>
          <t>[1]phi=0.5のとき</t>
        </is>
      </c>
      <c r="G9" t="inlineStr">
        <is>
          <t>[2]t=10においてwを+1.0する</t>
        </is>
      </c>
      <c r="J9" t="inlineStr">
        <is>
          <t>[3]変更後の差は？</t>
        </is>
      </c>
    </row>
    <row r="10">
      <c r="C10" s="9" t="inlineStr">
        <is>
          <t>t</t>
        </is>
      </c>
      <c r="D10" s="4" t="inlineStr">
        <is>
          <t>w</t>
        </is>
      </c>
      <c r="E10" t="inlineStr">
        <is>
          <t>Y0</t>
        </is>
      </c>
      <c r="G10" s="7" t="inlineStr">
        <is>
          <t>ｗ</t>
        </is>
      </c>
      <c r="H10" t="inlineStr">
        <is>
          <t>Y1</t>
        </is>
      </c>
      <c r="J10" t="inlineStr">
        <is>
          <t>Yの変化量(Ydiff)</t>
        </is>
      </c>
    </row>
    <row r="11">
      <c r="C11" s="10" t="n">
        <v>0</v>
      </c>
      <c r="D11" s="5" t="n"/>
      <c r="E11" t="n">
        <v>0</v>
      </c>
      <c r="G11" s="8" t="n"/>
      <c r="H11" t="n">
        <v>0</v>
      </c>
    </row>
    <row r="12">
      <c r="C12" s="10" t="n">
        <v>1</v>
      </c>
      <c r="D12" s="5" t="n">
        <v>0.85</v>
      </c>
      <c r="E12">
        <f>E11*0.5+D12</f>
        <v/>
      </c>
      <c r="G12" s="8" t="n">
        <v>0.85</v>
      </c>
      <c r="H12">
        <f>H11*0.5+G12</f>
        <v/>
      </c>
      <c r="J12">
        <f>H12-E12</f>
        <v/>
      </c>
    </row>
    <row r="13">
      <c r="C13" s="10" t="n">
        <v>2</v>
      </c>
      <c r="D13" s="5" t="n">
        <v>-0.87</v>
      </c>
      <c r="E13">
        <f>E12*0.5+D13</f>
        <v/>
      </c>
      <c r="G13" s="8" t="n">
        <v>-0.87</v>
      </c>
      <c r="H13">
        <f>H12*0.5+G13</f>
        <v/>
      </c>
      <c r="J13">
        <f>H13-E13</f>
        <v/>
      </c>
    </row>
    <row r="14">
      <c r="C14" s="10" t="n">
        <v>3</v>
      </c>
      <c r="D14" s="5" t="n">
        <v>0.46</v>
      </c>
      <c r="E14">
        <f>E13*0.5+D14</f>
        <v/>
      </c>
      <c r="G14" s="8" t="n">
        <v>0.46</v>
      </c>
      <c r="H14">
        <f>H13*0.5+G14</f>
        <v/>
      </c>
      <c r="J14">
        <f>H14-E14</f>
        <v/>
      </c>
    </row>
    <row r="15">
      <c r="C15" s="10" t="n">
        <v>4</v>
      </c>
      <c r="D15" s="5" t="n">
        <v>0.36</v>
      </c>
      <c r="E15">
        <f>E14*0.5+D15</f>
        <v/>
      </c>
      <c r="G15" s="8" t="n">
        <v>0.36</v>
      </c>
      <c r="H15">
        <f>H14*0.5+G15</f>
        <v/>
      </c>
      <c r="J15">
        <f>H15-E15</f>
        <v/>
      </c>
    </row>
    <row r="16">
      <c r="C16" s="10" t="n">
        <v>5</v>
      </c>
      <c r="D16" s="5" t="n">
        <v>-0.03</v>
      </c>
      <c r="E16">
        <f>E15*0.5+D16</f>
        <v/>
      </c>
      <c r="G16" s="8" t="n">
        <v>-0.03</v>
      </c>
      <c r="H16">
        <f>H15*0.5+G16</f>
        <v/>
      </c>
      <c r="J16">
        <f>H16-E16</f>
        <v/>
      </c>
    </row>
    <row r="17">
      <c r="C17" s="10" t="n">
        <v>6</v>
      </c>
      <c r="D17" s="5" t="n">
        <v>0.78</v>
      </c>
      <c r="E17">
        <f>E16*0.5+D17</f>
        <v/>
      </c>
      <c r="G17" s="8" t="n">
        <v>0.78</v>
      </c>
      <c r="H17">
        <f>H16*0.5+G17</f>
        <v/>
      </c>
      <c r="J17">
        <f>H17-E17</f>
        <v/>
      </c>
    </row>
    <row r="18">
      <c r="C18" s="10" t="n">
        <v>7</v>
      </c>
      <c r="D18" s="5" t="n">
        <v>-0.82</v>
      </c>
      <c r="E18">
        <f>E17*0.5+D18</f>
        <v/>
      </c>
      <c r="G18" s="8" t="n">
        <v>-0.82</v>
      </c>
      <c r="H18">
        <f>H17*0.5+G18</f>
        <v/>
      </c>
      <c r="J18">
        <f>H18-E18</f>
        <v/>
      </c>
    </row>
    <row r="19">
      <c r="C19" s="10" t="n">
        <v>8</v>
      </c>
      <c r="D19" s="5" t="n">
        <v>1.2</v>
      </c>
      <c r="E19">
        <f>E18*0.5+D19</f>
        <v/>
      </c>
      <c r="G19" s="8" t="n">
        <v>1.2</v>
      </c>
      <c r="H19">
        <f>H18*0.5+G19</f>
        <v/>
      </c>
      <c r="J19">
        <f>H19-E19</f>
        <v/>
      </c>
    </row>
    <row r="20">
      <c r="C20" s="10" t="n">
        <v>9</v>
      </c>
      <c r="D20" s="5" t="n">
        <v>1.38</v>
      </c>
      <c r="E20">
        <f>E19*0.5+D20</f>
        <v/>
      </c>
      <c r="G20" s="8" t="n">
        <v>1.38</v>
      </c>
      <c r="H20">
        <f>H19*0.5+G20</f>
        <v/>
      </c>
      <c r="J20">
        <f>H20-E20</f>
        <v/>
      </c>
    </row>
    <row r="21">
      <c r="C21" s="10" t="n">
        <v>10</v>
      </c>
      <c r="D21" s="5" t="n">
        <v>-0.5</v>
      </c>
      <c r="E21">
        <f>E20*0.5+D21</f>
        <v/>
      </c>
      <c r="G21" s="1">
        <f>D21+1</f>
        <v/>
      </c>
      <c r="H21">
        <f>H20*0.5+G21</f>
        <v/>
      </c>
      <c r="J21" s="2">
        <f>H21-E21</f>
        <v/>
      </c>
    </row>
    <row r="22">
      <c r="C22" s="10" t="n">
        <v>11</v>
      </c>
      <c r="D22" s="5" t="n">
        <v>1.33</v>
      </c>
      <c r="E22">
        <f>E21*0.5+D22</f>
        <v/>
      </c>
      <c r="G22" s="7" t="n">
        <v>1.33</v>
      </c>
      <c r="H22">
        <f>H21*0.5+G22</f>
        <v/>
      </c>
      <c r="J22" s="2">
        <f>H22-E22</f>
        <v/>
      </c>
    </row>
    <row r="23">
      <c r="C23" s="10" t="n">
        <v>12</v>
      </c>
      <c r="D23" s="5" t="n">
        <v>-0.68</v>
      </c>
      <c r="E23">
        <f>E22*0.5+D23</f>
        <v/>
      </c>
      <c r="G23" s="7" t="n">
        <v>-0.68</v>
      </c>
      <c r="H23">
        <f>H22*0.5+G23</f>
        <v/>
      </c>
      <c r="J23" s="2">
        <f>H23-E23</f>
        <v/>
      </c>
      <c r="K23" s="1" t="inlineStr">
        <is>
          <t>←確かに2期先は 0.5^2、3期先は0.5^3で幾何的に減衰している。</t>
        </is>
      </c>
    </row>
    <row r="24">
      <c r="C24" s="10" t="n">
        <v>13</v>
      </c>
      <c r="D24" s="5" t="n">
        <v>3.09</v>
      </c>
      <c r="E24">
        <f>E23*0.5+D24</f>
        <v/>
      </c>
      <c r="G24" s="7" t="n">
        <v>3.09</v>
      </c>
      <c r="H24">
        <f>H23*0.5+G24</f>
        <v/>
      </c>
      <c r="J24" s="2">
        <f>H24-E24</f>
        <v/>
      </c>
    </row>
    <row r="25">
      <c r="C25" s="10" t="n">
        <v>14</v>
      </c>
      <c r="D25" s="5" t="n">
        <v>-0.46</v>
      </c>
      <c r="E25">
        <f>E24*0.5+D25</f>
        <v/>
      </c>
      <c r="G25" s="7" t="n">
        <v>-0.46</v>
      </c>
      <c r="H25">
        <f>H24*0.5+G25</f>
        <v/>
      </c>
      <c r="J25" s="2">
        <f>H25-E25</f>
        <v/>
      </c>
      <c r="K25" s="30" t="inlineStr">
        <is>
          <t>以降のシートに(b)から累積的な影響までの数値実験を作成済み。</t>
        </is>
      </c>
    </row>
    <row r="26">
      <c r="C26" s="10" t="n">
        <v>15</v>
      </c>
      <c r="D26" s="5" t="n">
        <v>-1.34</v>
      </c>
      <c r="E26">
        <f>E25*0.5+D26</f>
        <v/>
      </c>
      <c r="G26" s="7" t="n">
        <v>-1.34</v>
      </c>
      <c r="H26">
        <f>H25*0.5+G26</f>
        <v/>
      </c>
      <c r="J26" s="2">
        <f>H26-E26</f>
        <v/>
      </c>
    </row>
    <row r="27">
      <c r="C27" s="10" t="n">
        <v>16</v>
      </c>
      <c r="D27" s="5" t="n">
        <v>-1.28</v>
      </c>
      <c r="E27">
        <f>E26*0.5+D27</f>
        <v/>
      </c>
      <c r="G27" s="7" t="n">
        <v>-1.28</v>
      </c>
      <c r="H27">
        <f>H26*0.5+G27</f>
        <v/>
      </c>
      <c r="J27" s="2">
        <f>H27-E27</f>
        <v/>
      </c>
    </row>
    <row r="28">
      <c r="C28" s="10" t="n">
        <v>17</v>
      </c>
      <c r="D28" s="5" t="n">
        <v>-0.51</v>
      </c>
      <c r="E28">
        <f>E27*0.5+D28</f>
        <v/>
      </c>
      <c r="G28" s="7" t="n">
        <v>-0.51</v>
      </c>
      <c r="H28">
        <f>H27*0.5+G28</f>
        <v/>
      </c>
      <c r="J28" s="2">
        <f>H28-E28</f>
        <v/>
      </c>
    </row>
    <row r="29">
      <c r="C29" s="10" t="n">
        <v>18</v>
      </c>
      <c r="D29" s="5" t="n">
        <v>-0.07000000000000001</v>
      </c>
      <c r="E29">
        <f>E28*0.5+D29</f>
        <v/>
      </c>
      <c r="G29" s="7" t="n">
        <v>-0.07000000000000001</v>
      </c>
      <c r="H29">
        <f>H28*0.5+G29</f>
        <v/>
      </c>
      <c r="J29" s="2">
        <f>H29-E29</f>
        <v/>
      </c>
    </row>
    <row r="30">
      <c r="C30" s="10" t="n">
        <v>19</v>
      </c>
      <c r="D30" s="5" t="n">
        <v>-0.51</v>
      </c>
      <c r="E30">
        <f>E29*0.5+D30</f>
        <v/>
      </c>
      <c r="G30" s="7" t="n">
        <v>-0.51</v>
      </c>
      <c r="H30">
        <f>H29*0.5+G30</f>
        <v/>
      </c>
      <c r="J30" s="2">
        <f>H30-E30</f>
        <v/>
      </c>
    </row>
    <row r="31" ht="18.9" customHeight="1" thickBot="1">
      <c r="C31" s="11" t="n">
        <v>20</v>
      </c>
      <c r="D31" s="6" t="n">
        <v>-0.93</v>
      </c>
      <c r="E31">
        <f>E30*0.5+D31</f>
        <v/>
      </c>
      <c r="G31" s="7" t="n">
        <v>-0.93</v>
      </c>
      <c r="H31">
        <f>H30*0.5+G31</f>
        <v/>
      </c>
      <c r="J31" s="2">
        <f>H31-E31</f>
        <v/>
      </c>
    </row>
  </sheetData>
  <mergeCells count="6">
    <mergeCell ref="C4:M4"/>
    <mergeCell ref="C3:M3"/>
    <mergeCell ref="C6:M6"/>
    <mergeCell ref="C7:M7"/>
    <mergeCell ref="C2:M2"/>
    <mergeCell ref="C5:M5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C2:M35"/>
  <sheetViews>
    <sheetView workbookViewId="0">
      <selection activeCell="A1" sqref="A1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(b) phi=-0.5 のとき</t>
        </is>
      </c>
    </row>
    <row r="3">
      <c r="C3" s="32" t="inlineStr">
        <is>
          <t>t=10においてwを1回だけ+1する。変更前後のYの差が動学乗数 phi^j と一致することを確認する。</t>
        </is>
      </c>
    </row>
    <row r="9">
      <c r="C9" s="33" t="inlineStr">
        <is>
          <t>t</t>
        </is>
      </c>
      <c r="D9" s="34" t="inlineStr">
        <is>
          <t>w</t>
        </is>
      </c>
      <c r="E9" s="34" t="inlineStr">
        <is>
          <t>Y0</t>
        </is>
      </c>
      <c r="F9" s="35" t="n"/>
      <c r="G9" s="34" t="inlineStr">
        <is>
          <t>w(変更後)</t>
        </is>
      </c>
      <c r="H9" s="34" t="inlineStr">
        <is>
          <t>Y1</t>
        </is>
      </c>
      <c r="I9" s="35" t="n"/>
      <c r="J9" s="34" t="inlineStr">
        <is>
          <t>Ydiff=Y1-Y0</t>
        </is>
      </c>
      <c r="K9" s="36" t="inlineStr">
        <is>
          <t>確認</t>
        </is>
      </c>
    </row>
    <row r="10">
      <c r="C10" s="37" t="n">
        <v>0</v>
      </c>
      <c r="D10" s="38" t="n"/>
      <c r="E10" s="38" t="n">
        <v>0</v>
      </c>
      <c r="F10" s="38" t="n"/>
      <c r="G10" s="38" t="n"/>
      <c r="H10" s="38" t="n">
        <v>0</v>
      </c>
      <c r="I10" s="38" t="n"/>
      <c r="J10" s="38" t="n">
        <v>0</v>
      </c>
      <c r="K10" s="39" t="inlineStr">
        <is>
          <t>初期値は同じなので差は0。</t>
        </is>
      </c>
    </row>
    <row r="11">
      <c r="C11" s="37" t="n">
        <v>1</v>
      </c>
      <c r="D11" s="38" t="n">
        <v>0.85</v>
      </c>
      <c r="E11" s="38">
        <f>E10*-0.5+D11</f>
        <v/>
      </c>
      <c r="F11" s="38" t="n"/>
      <c r="G11" s="38">
        <f>D11</f>
        <v/>
      </c>
      <c r="H11" s="38">
        <f>H10*-0.5+G11</f>
        <v/>
      </c>
      <c r="I11" s="38" t="n"/>
      <c r="J11" s="38">
        <f>H11-E11</f>
        <v/>
      </c>
      <c r="K11" s="39" t="inlineStr">
        <is>
          <t>ショック前なので差は0。</t>
        </is>
      </c>
    </row>
    <row r="12">
      <c r="C12" s="37" t="n">
        <v>2</v>
      </c>
      <c r="D12" s="38" t="n">
        <v>-0.87</v>
      </c>
      <c r="E12" s="38">
        <f>E11*-0.5+D12</f>
        <v/>
      </c>
      <c r="F12" s="38" t="n"/>
      <c r="G12" s="38">
        <f>D12</f>
        <v/>
      </c>
      <c r="H12" s="38">
        <f>H11*-0.5+G12</f>
        <v/>
      </c>
      <c r="I12" s="38" t="n"/>
      <c r="J12" s="38">
        <f>H12-E12</f>
        <v/>
      </c>
      <c r="K12" s="39" t="inlineStr">
        <is>
          <t>ショック前なので差は0。</t>
        </is>
      </c>
    </row>
    <row r="13">
      <c r="C13" s="37" t="n">
        <v>3</v>
      </c>
      <c r="D13" s="38" t="n">
        <v>0.46</v>
      </c>
      <c r="E13" s="38">
        <f>E12*-0.5+D13</f>
        <v/>
      </c>
      <c r="F13" s="38" t="n"/>
      <c r="G13" s="38">
        <f>D13</f>
        <v/>
      </c>
      <c r="H13" s="38">
        <f>H12*-0.5+G13</f>
        <v/>
      </c>
      <c r="I13" s="38" t="n"/>
      <c r="J13" s="38">
        <f>H13-E13</f>
        <v/>
      </c>
      <c r="K13" s="39" t="inlineStr">
        <is>
          <t>ショック前なので差は0。</t>
        </is>
      </c>
    </row>
    <row r="14">
      <c r="C14" s="37" t="n">
        <v>4</v>
      </c>
      <c r="D14" s="38" t="n">
        <v>0.36</v>
      </c>
      <c r="E14" s="38">
        <f>E13*-0.5+D14</f>
        <v/>
      </c>
      <c r="F14" s="38" t="n"/>
      <c r="G14" s="38">
        <f>D14</f>
        <v/>
      </c>
      <c r="H14" s="38">
        <f>H13*-0.5+G14</f>
        <v/>
      </c>
      <c r="I14" s="38" t="n"/>
      <c r="J14" s="38">
        <f>H14-E14</f>
        <v/>
      </c>
      <c r="K14" s="39" t="inlineStr">
        <is>
          <t>ショック前なので差は0。</t>
        </is>
      </c>
    </row>
    <row r="15">
      <c r="C15" s="37" t="n">
        <v>5</v>
      </c>
      <c r="D15" s="38" t="n">
        <v>-0.03</v>
      </c>
      <c r="E15" s="38">
        <f>E14*-0.5+D15</f>
        <v/>
      </c>
      <c r="F15" s="38" t="n"/>
      <c r="G15" s="38">
        <f>D15</f>
        <v/>
      </c>
      <c r="H15" s="38">
        <f>H14*-0.5+G15</f>
        <v/>
      </c>
      <c r="I15" s="38" t="n"/>
      <c r="J15" s="38">
        <f>H15-E15</f>
        <v/>
      </c>
      <c r="K15" s="39" t="inlineStr">
        <is>
          <t>ショック前なので差は0。</t>
        </is>
      </c>
    </row>
    <row r="16">
      <c r="C16" s="37" t="n">
        <v>6</v>
      </c>
      <c r="D16" s="38" t="n">
        <v>0.78</v>
      </c>
      <c r="E16" s="38">
        <f>E15*-0.5+D16</f>
        <v/>
      </c>
      <c r="F16" s="38" t="n"/>
      <c r="G16" s="38">
        <f>D16</f>
        <v/>
      </c>
      <c r="H16" s="38">
        <f>H15*-0.5+G16</f>
        <v/>
      </c>
      <c r="I16" s="38" t="n"/>
      <c r="J16" s="38">
        <f>H16-E16</f>
        <v/>
      </c>
      <c r="K16" s="39" t="inlineStr">
        <is>
          <t>ショック前なので差は0。</t>
        </is>
      </c>
    </row>
    <row r="17">
      <c r="C17" s="37" t="n">
        <v>7</v>
      </c>
      <c r="D17" s="38" t="n">
        <v>-0.82</v>
      </c>
      <c r="E17" s="38">
        <f>E16*-0.5+D17</f>
        <v/>
      </c>
      <c r="F17" s="38" t="n"/>
      <c r="G17" s="38">
        <f>D17</f>
        <v/>
      </c>
      <c r="H17" s="38">
        <f>H16*-0.5+G17</f>
        <v/>
      </c>
      <c r="I17" s="38" t="n"/>
      <c r="J17" s="38">
        <f>H17-E17</f>
        <v/>
      </c>
      <c r="K17" s="39" t="inlineStr">
        <is>
          <t>ショック前なので差は0。</t>
        </is>
      </c>
    </row>
    <row r="18">
      <c r="C18" s="37" t="n">
        <v>8</v>
      </c>
      <c r="D18" s="38" t="n">
        <v>1.2</v>
      </c>
      <c r="E18" s="38">
        <f>E17*-0.5+D18</f>
        <v/>
      </c>
      <c r="F18" s="38" t="n"/>
      <c r="G18" s="38">
        <f>D18</f>
        <v/>
      </c>
      <c r="H18" s="38">
        <f>H17*-0.5+G18</f>
        <v/>
      </c>
      <c r="I18" s="38" t="n"/>
      <c r="J18" s="38">
        <f>H18-E18</f>
        <v/>
      </c>
      <c r="K18" s="39" t="inlineStr">
        <is>
          <t>ショック前なので差は0。</t>
        </is>
      </c>
    </row>
    <row r="19">
      <c r="C19" s="37" t="n">
        <v>9</v>
      </c>
      <c r="D19" s="38" t="n">
        <v>1.38</v>
      </c>
      <c r="E19" s="38">
        <f>E18*-0.5+D19</f>
        <v/>
      </c>
      <c r="F19" s="38" t="n"/>
      <c r="G19" s="38">
        <f>D19</f>
        <v/>
      </c>
      <c r="H19" s="38">
        <f>H18*-0.5+G19</f>
        <v/>
      </c>
      <c r="I19" s="38" t="n"/>
      <c r="J19" s="38">
        <f>H19-E19</f>
        <v/>
      </c>
      <c r="K19" s="39" t="inlineStr">
        <is>
          <t>ショック前なので差は0。</t>
        </is>
      </c>
    </row>
    <row r="20">
      <c r="C20" s="37" t="n">
        <v>10</v>
      </c>
      <c r="D20" s="38" t="n">
        <v>-0.5</v>
      </c>
      <c r="E20" s="38">
        <f>E19*-0.5+D20</f>
        <v/>
      </c>
      <c r="F20" s="38" t="n"/>
      <c r="G20" s="40">
        <f>D20+1</f>
        <v/>
      </c>
      <c r="H20" s="38">
        <f>H19*-0.5+G20</f>
        <v/>
      </c>
      <c r="I20" s="38" t="n"/>
      <c r="J20" s="38">
        <f>H20-E20</f>
        <v/>
      </c>
      <c r="K20" s="39" t="inlineStr">
        <is>
          <t>j=0: phi^j = -0.5^0</t>
        </is>
      </c>
    </row>
    <row r="21">
      <c r="C21" s="37" t="n">
        <v>11</v>
      </c>
      <c r="D21" s="38" t="n">
        <v>1.33</v>
      </c>
      <c r="E21" s="38">
        <f>E20*-0.5+D21</f>
        <v/>
      </c>
      <c r="F21" s="38" t="n"/>
      <c r="G21" s="38">
        <f>D21</f>
        <v/>
      </c>
      <c r="H21" s="38">
        <f>H20*-0.5+G21</f>
        <v/>
      </c>
      <c r="I21" s="38" t="n"/>
      <c r="J21" s="38">
        <f>H21-E21</f>
        <v/>
      </c>
      <c r="K21" s="39" t="inlineStr">
        <is>
          <t>j=1: phi^j = -0.5^1</t>
        </is>
      </c>
    </row>
    <row r="22">
      <c r="C22" s="37" t="n">
        <v>12</v>
      </c>
      <c r="D22" s="38" t="n">
        <v>-0.68</v>
      </c>
      <c r="E22" s="38">
        <f>E21*-0.5+D22</f>
        <v/>
      </c>
      <c r="F22" s="38" t="n"/>
      <c r="G22" s="38">
        <f>D22</f>
        <v/>
      </c>
      <c r="H22" s="38">
        <f>H21*-0.5+G22</f>
        <v/>
      </c>
      <c r="I22" s="38" t="n"/>
      <c r="J22" s="38">
        <f>H22-E22</f>
        <v/>
      </c>
      <c r="K22" s="39" t="inlineStr">
        <is>
          <t>j=2: phi^j = -0.5^2</t>
        </is>
      </c>
    </row>
    <row r="23">
      <c r="C23" s="37" t="n">
        <v>13</v>
      </c>
      <c r="D23" s="38" t="n">
        <v>3.09</v>
      </c>
      <c r="E23" s="38">
        <f>E22*-0.5+D23</f>
        <v/>
      </c>
      <c r="F23" s="38" t="n"/>
      <c r="G23" s="38">
        <f>D23</f>
        <v/>
      </c>
      <c r="H23" s="38">
        <f>H22*-0.5+G23</f>
        <v/>
      </c>
      <c r="I23" s="38" t="n"/>
      <c r="J23" s="38">
        <f>H23-E23</f>
        <v/>
      </c>
      <c r="K23" s="39" t="inlineStr">
        <is>
          <t>j=3: phi^j = -0.5^3</t>
        </is>
      </c>
    </row>
    <row r="24">
      <c r="C24" s="37" t="n">
        <v>14</v>
      </c>
      <c r="D24" s="38" t="n">
        <v>-0.46</v>
      </c>
      <c r="E24" s="38">
        <f>E23*-0.5+D24</f>
        <v/>
      </c>
      <c r="F24" s="38" t="n"/>
      <c r="G24" s="38">
        <f>D24</f>
        <v/>
      </c>
      <c r="H24" s="38">
        <f>H23*-0.5+G24</f>
        <v/>
      </c>
      <c r="I24" s="38" t="n"/>
      <c r="J24" s="38">
        <f>H24-E24</f>
        <v/>
      </c>
      <c r="K24" s="39" t="inlineStr">
        <is>
          <t>j=4: phi^j = -0.5^4</t>
        </is>
      </c>
    </row>
    <row r="25">
      <c r="C25" s="37" t="n">
        <v>15</v>
      </c>
      <c r="D25" s="38" t="n">
        <v>-1.34</v>
      </c>
      <c r="E25" s="38">
        <f>E24*-0.5+D25</f>
        <v/>
      </c>
      <c r="F25" s="38" t="n"/>
      <c r="G25" s="38">
        <f>D25</f>
        <v/>
      </c>
      <c r="H25" s="38">
        <f>H24*-0.5+G25</f>
        <v/>
      </c>
      <c r="I25" s="38" t="n"/>
      <c r="J25" s="38">
        <f>H25-E25</f>
        <v/>
      </c>
      <c r="K25" s="39" t="inlineStr">
        <is>
          <t>j=5: phi^j = -0.5^5</t>
        </is>
      </c>
    </row>
    <row r="26">
      <c r="C26" s="37" t="n">
        <v>16</v>
      </c>
      <c r="D26" s="38" t="n">
        <v>-1.28</v>
      </c>
      <c r="E26" s="38">
        <f>E25*-0.5+D26</f>
        <v/>
      </c>
      <c r="F26" s="38" t="n"/>
      <c r="G26" s="38">
        <f>D26</f>
        <v/>
      </c>
      <c r="H26" s="38">
        <f>H25*-0.5+G26</f>
        <v/>
      </c>
      <c r="I26" s="38" t="n"/>
      <c r="J26" s="38">
        <f>H26-E26</f>
        <v/>
      </c>
      <c r="K26" s="39" t="inlineStr">
        <is>
          <t>j=6: phi^j = -0.5^6</t>
        </is>
      </c>
    </row>
    <row r="27">
      <c r="C27" s="37" t="n">
        <v>17</v>
      </c>
      <c r="D27" s="38" t="n">
        <v>-0.51</v>
      </c>
      <c r="E27" s="38">
        <f>E26*-0.5+D27</f>
        <v/>
      </c>
      <c r="F27" s="38" t="n"/>
      <c r="G27" s="38">
        <f>D27</f>
        <v/>
      </c>
      <c r="H27" s="38">
        <f>H26*-0.5+G27</f>
        <v/>
      </c>
      <c r="I27" s="38" t="n"/>
      <c r="J27" s="38">
        <f>H27-E27</f>
        <v/>
      </c>
      <c r="K27" s="39" t="inlineStr">
        <is>
          <t>j=7: phi^j = -0.5^7</t>
        </is>
      </c>
    </row>
    <row r="28">
      <c r="C28" s="37" t="n">
        <v>18</v>
      </c>
      <c r="D28" s="38" t="n">
        <v>-0.07000000000000001</v>
      </c>
      <c r="E28" s="38">
        <f>E27*-0.5+D28</f>
        <v/>
      </c>
      <c r="F28" s="38" t="n"/>
      <c r="G28" s="38">
        <f>D28</f>
        <v/>
      </c>
      <c r="H28" s="38">
        <f>H27*-0.5+G28</f>
        <v/>
      </c>
      <c r="I28" s="38" t="n"/>
      <c r="J28" s="38">
        <f>H28-E28</f>
        <v/>
      </c>
      <c r="K28" s="39" t="inlineStr">
        <is>
          <t>j=8: phi^j = -0.5^8</t>
        </is>
      </c>
    </row>
    <row r="29">
      <c r="C29" s="37" t="n">
        <v>19</v>
      </c>
      <c r="D29" s="38" t="n">
        <v>-0.51</v>
      </c>
      <c r="E29" s="38">
        <f>E28*-0.5+D29</f>
        <v/>
      </c>
      <c r="F29" s="38" t="n"/>
      <c r="G29" s="38">
        <f>D29</f>
        <v/>
      </c>
      <c r="H29" s="38">
        <f>H28*-0.5+G29</f>
        <v/>
      </c>
      <c r="I29" s="38" t="n"/>
      <c r="J29" s="38">
        <f>H29-E29</f>
        <v/>
      </c>
      <c r="K29" s="39" t="inlineStr">
        <is>
          <t>j=9: phi^j = -0.5^9</t>
        </is>
      </c>
    </row>
    <row r="30">
      <c r="C30" s="41" t="n">
        <v>20</v>
      </c>
      <c r="D30" s="42" t="n">
        <v>-0.93</v>
      </c>
      <c r="E30" s="42">
        <f>E29*-0.5+D30</f>
        <v/>
      </c>
      <c r="F30" s="42" t="n"/>
      <c r="G30" s="42">
        <f>D30</f>
        <v/>
      </c>
      <c r="H30" s="42">
        <f>H29*-0.5+G30</f>
        <v/>
      </c>
      <c r="I30" s="42" t="n"/>
      <c r="J30" s="42">
        <f>H30-E30</f>
        <v/>
      </c>
      <c r="K30" s="43" t="inlineStr">
        <is>
          <t>j=10: phi^j = -0.5^10</t>
        </is>
      </c>
    </row>
    <row r="33">
      <c r="C33" s="44" t="inlineStr">
        <is>
          <t>考察</t>
        </is>
      </c>
      <c r="D33" s="45" t="inlineStr">
        <is>
          <t>phi=-0.5 なので、t=10の1単位ショックの影響は 1, -0.5, 0.25, -0.125, ... と符号を交互に変えながら0へ近づく。したがって |phi|&lt;1 の安定的なケースである。</t>
        </is>
      </c>
    </row>
    <row r="34"/>
    <row r="35"/>
  </sheetData>
  <mergeCells count="3">
    <mergeCell ref="C2:M2"/>
    <mergeCell ref="D33:M35"/>
    <mergeCell ref="C3:M3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C2:M35"/>
  <sheetViews>
    <sheetView workbookViewId="0">
      <selection activeCell="A1" sqref="A1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(c) phi=1.2 のとき</t>
        </is>
      </c>
    </row>
    <row r="3">
      <c r="C3" s="32" t="inlineStr">
        <is>
          <t>t=10においてwを1回だけ+1する。変更前後のYの差が動学乗数 phi^j と一致することを確認する。</t>
        </is>
      </c>
    </row>
    <row r="9">
      <c r="C9" s="33" t="inlineStr">
        <is>
          <t>t</t>
        </is>
      </c>
      <c r="D9" s="34" t="inlineStr">
        <is>
          <t>w</t>
        </is>
      </c>
      <c r="E9" s="34" t="inlineStr">
        <is>
          <t>Y0</t>
        </is>
      </c>
      <c r="F9" s="35" t="n"/>
      <c r="G9" s="34" t="inlineStr">
        <is>
          <t>w(変更後)</t>
        </is>
      </c>
      <c r="H9" s="34" t="inlineStr">
        <is>
          <t>Y1</t>
        </is>
      </c>
      <c r="I9" s="35" t="n"/>
      <c r="J9" s="34" t="inlineStr">
        <is>
          <t>Ydiff=Y1-Y0</t>
        </is>
      </c>
      <c r="K9" s="36" t="inlineStr">
        <is>
          <t>確認</t>
        </is>
      </c>
    </row>
    <row r="10">
      <c r="C10" s="37" t="n">
        <v>0</v>
      </c>
      <c r="D10" s="38" t="n"/>
      <c r="E10" s="38" t="n">
        <v>0</v>
      </c>
      <c r="F10" s="38" t="n"/>
      <c r="G10" s="38" t="n"/>
      <c r="H10" s="38" t="n">
        <v>0</v>
      </c>
      <c r="I10" s="38" t="n"/>
      <c r="J10" s="38" t="n">
        <v>0</v>
      </c>
      <c r="K10" s="39" t="inlineStr">
        <is>
          <t>初期値は同じなので差は0。</t>
        </is>
      </c>
    </row>
    <row r="11">
      <c r="C11" s="37" t="n">
        <v>1</v>
      </c>
      <c r="D11" s="38" t="n">
        <v>0.85</v>
      </c>
      <c r="E11" s="38">
        <f>E10*1.2+D11</f>
        <v/>
      </c>
      <c r="F11" s="38" t="n"/>
      <c r="G11" s="38">
        <f>D11</f>
        <v/>
      </c>
      <c r="H11" s="38">
        <f>H10*1.2+G11</f>
        <v/>
      </c>
      <c r="I11" s="38" t="n"/>
      <c r="J11" s="38">
        <f>H11-E11</f>
        <v/>
      </c>
      <c r="K11" s="39" t="inlineStr">
        <is>
          <t>ショック前なので差は0。</t>
        </is>
      </c>
    </row>
    <row r="12">
      <c r="C12" s="37" t="n">
        <v>2</v>
      </c>
      <c r="D12" s="38" t="n">
        <v>-0.87</v>
      </c>
      <c r="E12" s="38">
        <f>E11*1.2+D12</f>
        <v/>
      </c>
      <c r="F12" s="38" t="n"/>
      <c r="G12" s="38">
        <f>D12</f>
        <v/>
      </c>
      <c r="H12" s="38">
        <f>H11*1.2+G12</f>
        <v/>
      </c>
      <c r="I12" s="38" t="n"/>
      <c r="J12" s="38">
        <f>H12-E12</f>
        <v/>
      </c>
      <c r="K12" s="39" t="inlineStr">
        <is>
          <t>ショック前なので差は0。</t>
        </is>
      </c>
    </row>
    <row r="13">
      <c r="C13" s="37" t="n">
        <v>3</v>
      </c>
      <c r="D13" s="38" t="n">
        <v>0.46</v>
      </c>
      <c r="E13" s="38">
        <f>E12*1.2+D13</f>
        <v/>
      </c>
      <c r="F13" s="38" t="n"/>
      <c r="G13" s="38">
        <f>D13</f>
        <v/>
      </c>
      <c r="H13" s="38">
        <f>H12*1.2+G13</f>
        <v/>
      </c>
      <c r="I13" s="38" t="n"/>
      <c r="J13" s="38">
        <f>H13-E13</f>
        <v/>
      </c>
      <c r="K13" s="39" t="inlineStr">
        <is>
          <t>ショック前なので差は0。</t>
        </is>
      </c>
    </row>
    <row r="14">
      <c r="C14" s="37" t="n">
        <v>4</v>
      </c>
      <c r="D14" s="38" t="n">
        <v>0.36</v>
      </c>
      <c r="E14" s="38">
        <f>E13*1.2+D14</f>
        <v/>
      </c>
      <c r="F14" s="38" t="n"/>
      <c r="G14" s="38">
        <f>D14</f>
        <v/>
      </c>
      <c r="H14" s="38">
        <f>H13*1.2+G14</f>
        <v/>
      </c>
      <c r="I14" s="38" t="n"/>
      <c r="J14" s="38">
        <f>H14-E14</f>
        <v/>
      </c>
      <c r="K14" s="39" t="inlineStr">
        <is>
          <t>ショック前なので差は0。</t>
        </is>
      </c>
    </row>
    <row r="15">
      <c r="C15" s="37" t="n">
        <v>5</v>
      </c>
      <c r="D15" s="38" t="n">
        <v>-0.03</v>
      </c>
      <c r="E15" s="38">
        <f>E14*1.2+D15</f>
        <v/>
      </c>
      <c r="F15" s="38" t="n"/>
      <c r="G15" s="38">
        <f>D15</f>
        <v/>
      </c>
      <c r="H15" s="38">
        <f>H14*1.2+G15</f>
        <v/>
      </c>
      <c r="I15" s="38" t="n"/>
      <c r="J15" s="38">
        <f>H15-E15</f>
        <v/>
      </c>
      <c r="K15" s="39" t="inlineStr">
        <is>
          <t>ショック前なので差は0。</t>
        </is>
      </c>
    </row>
    <row r="16">
      <c r="C16" s="37" t="n">
        <v>6</v>
      </c>
      <c r="D16" s="38" t="n">
        <v>0.78</v>
      </c>
      <c r="E16" s="38">
        <f>E15*1.2+D16</f>
        <v/>
      </c>
      <c r="F16" s="38" t="n"/>
      <c r="G16" s="38">
        <f>D16</f>
        <v/>
      </c>
      <c r="H16" s="38">
        <f>H15*1.2+G16</f>
        <v/>
      </c>
      <c r="I16" s="38" t="n"/>
      <c r="J16" s="38">
        <f>H16-E16</f>
        <v/>
      </c>
      <c r="K16" s="39" t="inlineStr">
        <is>
          <t>ショック前なので差は0。</t>
        </is>
      </c>
    </row>
    <row r="17">
      <c r="C17" s="37" t="n">
        <v>7</v>
      </c>
      <c r="D17" s="38" t="n">
        <v>-0.82</v>
      </c>
      <c r="E17" s="38">
        <f>E16*1.2+D17</f>
        <v/>
      </c>
      <c r="F17" s="38" t="n"/>
      <c r="G17" s="38">
        <f>D17</f>
        <v/>
      </c>
      <c r="H17" s="38">
        <f>H16*1.2+G17</f>
        <v/>
      </c>
      <c r="I17" s="38" t="n"/>
      <c r="J17" s="38">
        <f>H17-E17</f>
        <v/>
      </c>
      <c r="K17" s="39" t="inlineStr">
        <is>
          <t>ショック前なので差は0。</t>
        </is>
      </c>
    </row>
    <row r="18">
      <c r="C18" s="37" t="n">
        <v>8</v>
      </c>
      <c r="D18" s="38" t="n">
        <v>1.2</v>
      </c>
      <c r="E18" s="38">
        <f>E17*1.2+D18</f>
        <v/>
      </c>
      <c r="F18" s="38" t="n"/>
      <c r="G18" s="38">
        <f>D18</f>
        <v/>
      </c>
      <c r="H18" s="38">
        <f>H17*1.2+G18</f>
        <v/>
      </c>
      <c r="I18" s="38" t="n"/>
      <c r="J18" s="38">
        <f>H18-E18</f>
        <v/>
      </c>
      <c r="K18" s="39" t="inlineStr">
        <is>
          <t>ショック前なので差は0。</t>
        </is>
      </c>
    </row>
    <row r="19">
      <c r="C19" s="37" t="n">
        <v>9</v>
      </c>
      <c r="D19" s="38" t="n">
        <v>1.38</v>
      </c>
      <c r="E19" s="38">
        <f>E18*1.2+D19</f>
        <v/>
      </c>
      <c r="F19" s="38" t="n"/>
      <c r="G19" s="38">
        <f>D19</f>
        <v/>
      </c>
      <c r="H19" s="38">
        <f>H18*1.2+G19</f>
        <v/>
      </c>
      <c r="I19" s="38" t="n"/>
      <c r="J19" s="38">
        <f>H19-E19</f>
        <v/>
      </c>
      <c r="K19" s="39" t="inlineStr">
        <is>
          <t>ショック前なので差は0。</t>
        </is>
      </c>
    </row>
    <row r="20">
      <c r="C20" s="37" t="n">
        <v>10</v>
      </c>
      <c r="D20" s="38" t="n">
        <v>-0.5</v>
      </c>
      <c r="E20" s="38">
        <f>E19*1.2+D20</f>
        <v/>
      </c>
      <c r="F20" s="38" t="n"/>
      <c r="G20" s="40">
        <f>D20+1</f>
        <v/>
      </c>
      <c r="H20" s="38">
        <f>H19*1.2+G20</f>
        <v/>
      </c>
      <c r="I20" s="38" t="n"/>
      <c r="J20" s="38">
        <f>H20-E20</f>
        <v/>
      </c>
      <c r="K20" s="39" t="inlineStr">
        <is>
          <t>j=0: phi^j = 1.2^0</t>
        </is>
      </c>
    </row>
    <row r="21">
      <c r="C21" s="37" t="n">
        <v>11</v>
      </c>
      <c r="D21" s="38" t="n">
        <v>1.33</v>
      </c>
      <c r="E21" s="38">
        <f>E20*1.2+D21</f>
        <v/>
      </c>
      <c r="F21" s="38" t="n"/>
      <c r="G21" s="38">
        <f>D21</f>
        <v/>
      </c>
      <c r="H21" s="38">
        <f>H20*1.2+G21</f>
        <v/>
      </c>
      <c r="I21" s="38" t="n"/>
      <c r="J21" s="38">
        <f>H21-E21</f>
        <v/>
      </c>
      <c r="K21" s="39" t="inlineStr">
        <is>
          <t>j=1: phi^j = 1.2^1</t>
        </is>
      </c>
    </row>
    <row r="22">
      <c r="C22" s="37" t="n">
        <v>12</v>
      </c>
      <c r="D22" s="38" t="n">
        <v>-0.68</v>
      </c>
      <c r="E22" s="38">
        <f>E21*1.2+D22</f>
        <v/>
      </c>
      <c r="F22" s="38" t="n"/>
      <c r="G22" s="38">
        <f>D22</f>
        <v/>
      </c>
      <c r="H22" s="38">
        <f>H21*1.2+G22</f>
        <v/>
      </c>
      <c r="I22" s="38" t="n"/>
      <c r="J22" s="38">
        <f>H22-E22</f>
        <v/>
      </c>
      <c r="K22" s="39" t="inlineStr">
        <is>
          <t>j=2: phi^j = 1.2^2</t>
        </is>
      </c>
    </row>
    <row r="23">
      <c r="C23" s="37" t="n">
        <v>13</v>
      </c>
      <c r="D23" s="38" t="n">
        <v>3.09</v>
      </c>
      <c r="E23" s="38">
        <f>E22*1.2+D23</f>
        <v/>
      </c>
      <c r="F23" s="38" t="n"/>
      <c r="G23" s="38">
        <f>D23</f>
        <v/>
      </c>
      <c r="H23" s="38">
        <f>H22*1.2+G23</f>
        <v/>
      </c>
      <c r="I23" s="38" t="n"/>
      <c r="J23" s="38">
        <f>H23-E23</f>
        <v/>
      </c>
      <c r="K23" s="39" t="inlineStr">
        <is>
          <t>j=3: phi^j = 1.2^3</t>
        </is>
      </c>
    </row>
    <row r="24">
      <c r="C24" s="37" t="n">
        <v>14</v>
      </c>
      <c r="D24" s="38" t="n">
        <v>-0.46</v>
      </c>
      <c r="E24" s="38">
        <f>E23*1.2+D24</f>
        <v/>
      </c>
      <c r="F24" s="38" t="n"/>
      <c r="G24" s="38">
        <f>D24</f>
        <v/>
      </c>
      <c r="H24" s="38">
        <f>H23*1.2+G24</f>
        <v/>
      </c>
      <c r="I24" s="38" t="n"/>
      <c r="J24" s="38">
        <f>H24-E24</f>
        <v/>
      </c>
      <c r="K24" s="39" t="inlineStr">
        <is>
          <t>j=4: phi^j = 1.2^4</t>
        </is>
      </c>
    </row>
    <row r="25">
      <c r="C25" s="37" t="n">
        <v>15</v>
      </c>
      <c r="D25" s="38" t="n">
        <v>-1.34</v>
      </c>
      <c r="E25" s="38">
        <f>E24*1.2+D25</f>
        <v/>
      </c>
      <c r="F25" s="38" t="n"/>
      <c r="G25" s="38">
        <f>D25</f>
        <v/>
      </c>
      <c r="H25" s="38">
        <f>H24*1.2+G25</f>
        <v/>
      </c>
      <c r="I25" s="38" t="n"/>
      <c r="J25" s="38">
        <f>H25-E25</f>
        <v/>
      </c>
      <c r="K25" s="39" t="inlineStr">
        <is>
          <t>j=5: phi^j = 1.2^5</t>
        </is>
      </c>
    </row>
    <row r="26">
      <c r="C26" s="37" t="n">
        <v>16</v>
      </c>
      <c r="D26" s="38" t="n">
        <v>-1.28</v>
      </c>
      <c r="E26" s="38">
        <f>E25*1.2+D26</f>
        <v/>
      </c>
      <c r="F26" s="38" t="n"/>
      <c r="G26" s="38">
        <f>D26</f>
        <v/>
      </c>
      <c r="H26" s="38">
        <f>H25*1.2+G26</f>
        <v/>
      </c>
      <c r="I26" s="38" t="n"/>
      <c r="J26" s="38">
        <f>H26-E26</f>
        <v/>
      </c>
      <c r="K26" s="39" t="inlineStr">
        <is>
          <t>j=6: phi^j = 1.2^6</t>
        </is>
      </c>
    </row>
    <row r="27">
      <c r="C27" s="37" t="n">
        <v>17</v>
      </c>
      <c r="D27" s="38" t="n">
        <v>-0.51</v>
      </c>
      <c r="E27" s="38">
        <f>E26*1.2+D27</f>
        <v/>
      </c>
      <c r="F27" s="38" t="n"/>
      <c r="G27" s="38">
        <f>D27</f>
        <v/>
      </c>
      <c r="H27" s="38">
        <f>H26*1.2+G27</f>
        <v/>
      </c>
      <c r="I27" s="38" t="n"/>
      <c r="J27" s="38">
        <f>H27-E27</f>
        <v/>
      </c>
      <c r="K27" s="39" t="inlineStr">
        <is>
          <t>j=7: phi^j = 1.2^7</t>
        </is>
      </c>
    </row>
    <row r="28">
      <c r="C28" s="37" t="n">
        <v>18</v>
      </c>
      <c r="D28" s="38" t="n">
        <v>-0.07000000000000001</v>
      </c>
      <c r="E28" s="38">
        <f>E27*1.2+D28</f>
        <v/>
      </c>
      <c r="F28" s="38" t="n"/>
      <c r="G28" s="38">
        <f>D28</f>
        <v/>
      </c>
      <c r="H28" s="38">
        <f>H27*1.2+G28</f>
        <v/>
      </c>
      <c r="I28" s="38" t="n"/>
      <c r="J28" s="38">
        <f>H28-E28</f>
        <v/>
      </c>
      <c r="K28" s="39" t="inlineStr">
        <is>
          <t>j=8: phi^j = 1.2^8</t>
        </is>
      </c>
    </row>
    <row r="29">
      <c r="C29" s="37" t="n">
        <v>19</v>
      </c>
      <c r="D29" s="38" t="n">
        <v>-0.51</v>
      </c>
      <c r="E29" s="38">
        <f>E28*1.2+D29</f>
        <v/>
      </c>
      <c r="F29" s="38" t="n"/>
      <c r="G29" s="38">
        <f>D29</f>
        <v/>
      </c>
      <c r="H29" s="38">
        <f>H28*1.2+G29</f>
        <v/>
      </c>
      <c r="I29" s="38" t="n"/>
      <c r="J29" s="38">
        <f>H29-E29</f>
        <v/>
      </c>
      <c r="K29" s="39" t="inlineStr">
        <is>
          <t>j=9: phi^j = 1.2^9</t>
        </is>
      </c>
    </row>
    <row r="30">
      <c r="C30" s="41" t="n">
        <v>20</v>
      </c>
      <c r="D30" s="42" t="n">
        <v>-0.93</v>
      </c>
      <c r="E30" s="42">
        <f>E29*1.2+D30</f>
        <v/>
      </c>
      <c r="F30" s="42" t="n"/>
      <c r="G30" s="42">
        <f>D30</f>
        <v/>
      </c>
      <c r="H30" s="42">
        <f>H29*1.2+G30</f>
        <v/>
      </c>
      <c r="I30" s="42" t="n"/>
      <c r="J30" s="42">
        <f>H30-E30</f>
        <v/>
      </c>
      <c r="K30" s="43" t="inlineStr">
        <is>
          <t>j=10: phi^j = 1.2^10</t>
        </is>
      </c>
    </row>
    <row r="33">
      <c r="C33" s="44" t="inlineStr">
        <is>
          <t>考察</t>
        </is>
      </c>
      <c r="D33" s="45" t="inlineStr">
        <is>
          <t>phi=1.2 なので、影響は 1, 1.2, 1.44, 1.728, ... と正のまま大きくなる。|phi|&gt;1 のため、ショックは減衰せず発散する。</t>
        </is>
      </c>
    </row>
    <row r="34"/>
    <row r="35"/>
  </sheetData>
  <mergeCells count="3">
    <mergeCell ref="C2:M2"/>
    <mergeCell ref="D33:M35"/>
    <mergeCell ref="C3:M3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C2:M35"/>
  <sheetViews>
    <sheetView workbookViewId="0">
      <selection activeCell="A1" sqref="A1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(d) phi=-1.2 のとき</t>
        </is>
      </c>
    </row>
    <row r="3">
      <c r="C3" s="32" t="inlineStr">
        <is>
          <t>t=10においてwを1回だけ+1する。変更前後のYの差が動学乗数 phi^j と一致することを確認する。</t>
        </is>
      </c>
    </row>
    <row r="9">
      <c r="C9" s="33" t="inlineStr">
        <is>
          <t>t</t>
        </is>
      </c>
      <c r="D9" s="34" t="inlineStr">
        <is>
          <t>w</t>
        </is>
      </c>
      <c r="E9" s="34" t="inlineStr">
        <is>
          <t>Y0</t>
        </is>
      </c>
      <c r="F9" s="35" t="n"/>
      <c r="G9" s="34" t="inlineStr">
        <is>
          <t>w(変更後)</t>
        </is>
      </c>
      <c r="H9" s="34" t="inlineStr">
        <is>
          <t>Y1</t>
        </is>
      </c>
      <c r="I9" s="35" t="n"/>
      <c r="J9" s="34" t="inlineStr">
        <is>
          <t>Ydiff=Y1-Y0</t>
        </is>
      </c>
      <c r="K9" s="36" t="inlineStr">
        <is>
          <t>確認</t>
        </is>
      </c>
    </row>
    <row r="10">
      <c r="C10" s="37" t="n">
        <v>0</v>
      </c>
      <c r="D10" s="38" t="n"/>
      <c r="E10" s="38" t="n">
        <v>0</v>
      </c>
      <c r="F10" s="38" t="n"/>
      <c r="G10" s="38" t="n"/>
      <c r="H10" s="38" t="n">
        <v>0</v>
      </c>
      <c r="I10" s="38" t="n"/>
      <c r="J10" s="38" t="n">
        <v>0</v>
      </c>
      <c r="K10" s="39" t="inlineStr">
        <is>
          <t>初期値は同じなので差は0。</t>
        </is>
      </c>
    </row>
    <row r="11">
      <c r="C11" s="37" t="n">
        <v>1</v>
      </c>
      <c r="D11" s="38" t="n">
        <v>0.85</v>
      </c>
      <c r="E11" s="38">
        <f>E10*-1.2+D11</f>
        <v/>
      </c>
      <c r="F11" s="38" t="n"/>
      <c r="G11" s="38">
        <f>D11</f>
        <v/>
      </c>
      <c r="H11" s="38">
        <f>H10*-1.2+G11</f>
        <v/>
      </c>
      <c r="I11" s="38" t="n"/>
      <c r="J11" s="38">
        <f>H11-E11</f>
        <v/>
      </c>
      <c r="K11" s="39" t="inlineStr">
        <is>
          <t>ショック前なので差は0。</t>
        </is>
      </c>
    </row>
    <row r="12">
      <c r="C12" s="37" t="n">
        <v>2</v>
      </c>
      <c r="D12" s="38" t="n">
        <v>-0.87</v>
      </c>
      <c r="E12" s="38">
        <f>E11*-1.2+D12</f>
        <v/>
      </c>
      <c r="F12" s="38" t="n"/>
      <c r="G12" s="38">
        <f>D12</f>
        <v/>
      </c>
      <c r="H12" s="38">
        <f>H11*-1.2+G12</f>
        <v/>
      </c>
      <c r="I12" s="38" t="n"/>
      <c r="J12" s="38">
        <f>H12-E12</f>
        <v/>
      </c>
      <c r="K12" s="39" t="inlineStr">
        <is>
          <t>ショック前なので差は0。</t>
        </is>
      </c>
    </row>
    <row r="13">
      <c r="C13" s="37" t="n">
        <v>3</v>
      </c>
      <c r="D13" s="38" t="n">
        <v>0.46</v>
      </c>
      <c r="E13" s="38">
        <f>E12*-1.2+D13</f>
        <v/>
      </c>
      <c r="F13" s="38" t="n"/>
      <c r="G13" s="38">
        <f>D13</f>
        <v/>
      </c>
      <c r="H13" s="38">
        <f>H12*-1.2+G13</f>
        <v/>
      </c>
      <c r="I13" s="38" t="n"/>
      <c r="J13" s="38">
        <f>H13-E13</f>
        <v/>
      </c>
      <c r="K13" s="39" t="inlineStr">
        <is>
          <t>ショック前なので差は0。</t>
        </is>
      </c>
    </row>
    <row r="14">
      <c r="C14" s="37" t="n">
        <v>4</v>
      </c>
      <c r="D14" s="38" t="n">
        <v>0.36</v>
      </c>
      <c r="E14" s="38">
        <f>E13*-1.2+D14</f>
        <v/>
      </c>
      <c r="F14" s="38" t="n"/>
      <c r="G14" s="38">
        <f>D14</f>
        <v/>
      </c>
      <c r="H14" s="38">
        <f>H13*-1.2+G14</f>
        <v/>
      </c>
      <c r="I14" s="38" t="n"/>
      <c r="J14" s="38">
        <f>H14-E14</f>
        <v/>
      </c>
      <c r="K14" s="39" t="inlineStr">
        <is>
          <t>ショック前なので差は0。</t>
        </is>
      </c>
    </row>
    <row r="15">
      <c r="C15" s="37" t="n">
        <v>5</v>
      </c>
      <c r="D15" s="38" t="n">
        <v>-0.03</v>
      </c>
      <c r="E15" s="38">
        <f>E14*-1.2+D15</f>
        <v/>
      </c>
      <c r="F15" s="38" t="n"/>
      <c r="G15" s="38">
        <f>D15</f>
        <v/>
      </c>
      <c r="H15" s="38">
        <f>H14*-1.2+G15</f>
        <v/>
      </c>
      <c r="I15" s="38" t="n"/>
      <c r="J15" s="38">
        <f>H15-E15</f>
        <v/>
      </c>
      <c r="K15" s="39" t="inlineStr">
        <is>
          <t>ショック前なので差は0。</t>
        </is>
      </c>
    </row>
    <row r="16">
      <c r="C16" s="37" t="n">
        <v>6</v>
      </c>
      <c r="D16" s="38" t="n">
        <v>0.78</v>
      </c>
      <c r="E16" s="38">
        <f>E15*-1.2+D16</f>
        <v/>
      </c>
      <c r="F16" s="38" t="n"/>
      <c r="G16" s="38">
        <f>D16</f>
        <v/>
      </c>
      <c r="H16" s="38">
        <f>H15*-1.2+G16</f>
        <v/>
      </c>
      <c r="I16" s="38" t="n"/>
      <c r="J16" s="38">
        <f>H16-E16</f>
        <v/>
      </c>
      <c r="K16" s="39" t="inlineStr">
        <is>
          <t>ショック前なので差は0。</t>
        </is>
      </c>
    </row>
    <row r="17">
      <c r="C17" s="37" t="n">
        <v>7</v>
      </c>
      <c r="D17" s="38" t="n">
        <v>-0.82</v>
      </c>
      <c r="E17" s="38">
        <f>E16*-1.2+D17</f>
        <v/>
      </c>
      <c r="F17" s="38" t="n"/>
      <c r="G17" s="38">
        <f>D17</f>
        <v/>
      </c>
      <c r="H17" s="38">
        <f>H16*-1.2+G17</f>
        <v/>
      </c>
      <c r="I17" s="38" t="n"/>
      <c r="J17" s="38">
        <f>H17-E17</f>
        <v/>
      </c>
      <c r="K17" s="39" t="inlineStr">
        <is>
          <t>ショック前なので差は0。</t>
        </is>
      </c>
    </row>
    <row r="18">
      <c r="C18" s="37" t="n">
        <v>8</v>
      </c>
      <c r="D18" s="38" t="n">
        <v>1.2</v>
      </c>
      <c r="E18" s="38">
        <f>E17*-1.2+D18</f>
        <v/>
      </c>
      <c r="F18" s="38" t="n"/>
      <c r="G18" s="38">
        <f>D18</f>
        <v/>
      </c>
      <c r="H18" s="38">
        <f>H17*-1.2+G18</f>
        <v/>
      </c>
      <c r="I18" s="38" t="n"/>
      <c r="J18" s="38">
        <f>H18-E18</f>
        <v/>
      </c>
      <c r="K18" s="39" t="inlineStr">
        <is>
          <t>ショック前なので差は0。</t>
        </is>
      </c>
    </row>
    <row r="19">
      <c r="C19" s="37" t="n">
        <v>9</v>
      </c>
      <c r="D19" s="38" t="n">
        <v>1.38</v>
      </c>
      <c r="E19" s="38">
        <f>E18*-1.2+D19</f>
        <v/>
      </c>
      <c r="F19" s="38" t="n"/>
      <c r="G19" s="38">
        <f>D19</f>
        <v/>
      </c>
      <c r="H19" s="38">
        <f>H18*-1.2+G19</f>
        <v/>
      </c>
      <c r="I19" s="38" t="n"/>
      <c r="J19" s="38">
        <f>H19-E19</f>
        <v/>
      </c>
      <c r="K19" s="39" t="inlineStr">
        <is>
          <t>ショック前なので差は0。</t>
        </is>
      </c>
    </row>
    <row r="20">
      <c r="C20" s="37" t="n">
        <v>10</v>
      </c>
      <c r="D20" s="38" t="n">
        <v>-0.5</v>
      </c>
      <c r="E20" s="38">
        <f>E19*-1.2+D20</f>
        <v/>
      </c>
      <c r="F20" s="38" t="n"/>
      <c r="G20" s="40">
        <f>D20+1</f>
        <v/>
      </c>
      <c r="H20" s="38">
        <f>H19*-1.2+G20</f>
        <v/>
      </c>
      <c r="I20" s="38" t="n"/>
      <c r="J20" s="38">
        <f>H20-E20</f>
        <v/>
      </c>
      <c r="K20" s="39" t="inlineStr">
        <is>
          <t>j=0: phi^j = -1.2^0</t>
        </is>
      </c>
    </row>
    <row r="21">
      <c r="C21" s="37" t="n">
        <v>11</v>
      </c>
      <c r="D21" s="38" t="n">
        <v>1.33</v>
      </c>
      <c r="E21" s="38">
        <f>E20*-1.2+D21</f>
        <v/>
      </c>
      <c r="F21" s="38" t="n"/>
      <c r="G21" s="38">
        <f>D21</f>
        <v/>
      </c>
      <c r="H21" s="38">
        <f>H20*-1.2+G21</f>
        <v/>
      </c>
      <c r="I21" s="38" t="n"/>
      <c r="J21" s="38">
        <f>H21-E21</f>
        <v/>
      </c>
      <c r="K21" s="39" t="inlineStr">
        <is>
          <t>j=1: phi^j = -1.2^1</t>
        </is>
      </c>
    </row>
    <row r="22">
      <c r="C22" s="37" t="n">
        <v>12</v>
      </c>
      <c r="D22" s="38" t="n">
        <v>-0.68</v>
      </c>
      <c r="E22" s="38">
        <f>E21*-1.2+D22</f>
        <v/>
      </c>
      <c r="F22" s="38" t="n"/>
      <c r="G22" s="38">
        <f>D22</f>
        <v/>
      </c>
      <c r="H22" s="38">
        <f>H21*-1.2+G22</f>
        <v/>
      </c>
      <c r="I22" s="38" t="n"/>
      <c r="J22" s="38">
        <f>H22-E22</f>
        <v/>
      </c>
      <c r="K22" s="39" t="inlineStr">
        <is>
          <t>j=2: phi^j = -1.2^2</t>
        </is>
      </c>
    </row>
    <row r="23">
      <c r="C23" s="37" t="n">
        <v>13</v>
      </c>
      <c r="D23" s="38" t="n">
        <v>3.09</v>
      </c>
      <c r="E23" s="38">
        <f>E22*-1.2+D23</f>
        <v/>
      </c>
      <c r="F23" s="38" t="n"/>
      <c r="G23" s="38">
        <f>D23</f>
        <v/>
      </c>
      <c r="H23" s="38">
        <f>H22*-1.2+G23</f>
        <v/>
      </c>
      <c r="I23" s="38" t="n"/>
      <c r="J23" s="38">
        <f>H23-E23</f>
        <v/>
      </c>
      <c r="K23" s="39" t="inlineStr">
        <is>
          <t>j=3: phi^j = -1.2^3</t>
        </is>
      </c>
    </row>
    <row r="24">
      <c r="C24" s="37" t="n">
        <v>14</v>
      </c>
      <c r="D24" s="38" t="n">
        <v>-0.46</v>
      </c>
      <c r="E24" s="38">
        <f>E23*-1.2+D24</f>
        <v/>
      </c>
      <c r="F24" s="38" t="n"/>
      <c r="G24" s="38">
        <f>D24</f>
        <v/>
      </c>
      <c r="H24" s="38">
        <f>H23*-1.2+G24</f>
        <v/>
      </c>
      <c r="I24" s="38" t="n"/>
      <c r="J24" s="38">
        <f>H24-E24</f>
        <v/>
      </c>
      <c r="K24" s="39" t="inlineStr">
        <is>
          <t>j=4: phi^j = -1.2^4</t>
        </is>
      </c>
    </row>
    <row r="25">
      <c r="C25" s="37" t="n">
        <v>15</v>
      </c>
      <c r="D25" s="38" t="n">
        <v>-1.34</v>
      </c>
      <c r="E25" s="38">
        <f>E24*-1.2+D25</f>
        <v/>
      </c>
      <c r="F25" s="38" t="n"/>
      <c r="G25" s="38">
        <f>D25</f>
        <v/>
      </c>
      <c r="H25" s="38">
        <f>H24*-1.2+G25</f>
        <v/>
      </c>
      <c r="I25" s="38" t="n"/>
      <c r="J25" s="38">
        <f>H25-E25</f>
        <v/>
      </c>
      <c r="K25" s="39" t="inlineStr">
        <is>
          <t>j=5: phi^j = -1.2^5</t>
        </is>
      </c>
    </row>
    <row r="26">
      <c r="C26" s="37" t="n">
        <v>16</v>
      </c>
      <c r="D26" s="38" t="n">
        <v>-1.28</v>
      </c>
      <c r="E26" s="38">
        <f>E25*-1.2+D26</f>
        <v/>
      </c>
      <c r="F26" s="38" t="n"/>
      <c r="G26" s="38">
        <f>D26</f>
        <v/>
      </c>
      <c r="H26" s="38">
        <f>H25*-1.2+G26</f>
        <v/>
      </c>
      <c r="I26" s="38" t="n"/>
      <c r="J26" s="38">
        <f>H26-E26</f>
        <v/>
      </c>
      <c r="K26" s="39" t="inlineStr">
        <is>
          <t>j=6: phi^j = -1.2^6</t>
        </is>
      </c>
    </row>
    <row r="27">
      <c r="C27" s="37" t="n">
        <v>17</v>
      </c>
      <c r="D27" s="38" t="n">
        <v>-0.51</v>
      </c>
      <c r="E27" s="38">
        <f>E26*-1.2+D27</f>
        <v/>
      </c>
      <c r="F27" s="38" t="n"/>
      <c r="G27" s="38">
        <f>D27</f>
        <v/>
      </c>
      <c r="H27" s="38">
        <f>H26*-1.2+G27</f>
        <v/>
      </c>
      <c r="I27" s="38" t="n"/>
      <c r="J27" s="38">
        <f>H27-E27</f>
        <v/>
      </c>
      <c r="K27" s="39" t="inlineStr">
        <is>
          <t>j=7: phi^j = -1.2^7</t>
        </is>
      </c>
    </row>
    <row r="28">
      <c r="C28" s="37" t="n">
        <v>18</v>
      </c>
      <c r="D28" s="38" t="n">
        <v>-0.07000000000000001</v>
      </c>
      <c r="E28" s="38">
        <f>E27*-1.2+D28</f>
        <v/>
      </c>
      <c r="F28" s="38" t="n"/>
      <c r="G28" s="38">
        <f>D28</f>
        <v/>
      </c>
      <c r="H28" s="38">
        <f>H27*-1.2+G28</f>
        <v/>
      </c>
      <c r="I28" s="38" t="n"/>
      <c r="J28" s="38">
        <f>H28-E28</f>
        <v/>
      </c>
      <c r="K28" s="39" t="inlineStr">
        <is>
          <t>j=8: phi^j = -1.2^8</t>
        </is>
      </c>
    </row>
    <row r="29">
      <c r="C29" s="37" t="n">
        <v>19</v>
      </c>
      <c r="D29" s="38" t="n">
        <v>-0.51</v>
      </c>
      <c r="E29" s="38">
        <f>E28*-1.2+D29</f>
        <v/>
      </c>
      <c r="F29" s="38" t="n"/>
      <c r="G29" s="38">
        <f>D29</f>
        <v/>
      </c>
      <c r="H29" s="38">
        <f>H28*-1.2+G29</f>
        <v/>
      </c>
      <c r="I29" s="38" t="n"/>
      <c r="J29" s="38">
        <f>H29-E29</f>
        <v/>
      </c>
      <c r="K29" s="39" t="inlineStr">
        <is>
          <t>j=9: phi^j = -1.2^9</t>
        </is>
      </c>
    </row>
    <row r="30">
      <c r="C30" s="41" t="n">
        <v>20</v>
      </c>
      <c r="D30" s="42" t="n">
        <v>-0.93</v>
      </c>
      <c r="E30" s="42">
        <f>E29*-1.2+D30</f>
        <v/>
      </c>
      <c r="F30" s="42" t="n"/>
      <c r="G30" s="42">
        <f>D30</f>
        <v/>
      </c>
      <c r="H30" s="42">
        <f>H29*-1.2+G30</f>
        <v/>
      </c>
      <c r="I30" s="42" t="n"/>
      <c r="J30" s="42">
        <f>H30-E30</f>
        <v/>
      </c>
      <c r="K30" s="43" t="inlineStr">
        <is>
          <t>j=10: phi^j = -1.2^10</t>
        </is>
      </c>
    </row>
    <row r="33">
      <c r="C33" s="44" t="inlineStr">
        <is>
          <t>考察</t>
        </is>
      </c>
      <c r="D33" s="45" t="inlineStr">
        <is>
          <t>phi=-1.2 なので、影響は 1, -1.2, 1.44, -1.728, ... と符号を交互に変えながら絶対値が大きくなる。振動しながら発散するケースである。</t>
        </is>
      </c>
    </row>
    <row r="34"/>
    <row r="35"/>
  </sheetData>
  <mergeCells count="3">
    <mergeCell ref="C2:M2"/>
    <mergeCell ref="D33:M35"/>
    <mergeCell ref="C3:M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C2:M35"/>
  <sheetViews>
    <sheetView workbookViewId="0">
      <selection activeCell="A1" sqref="A1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(e) phi=1.0 のとき</t>
        </is>
      </c>
    </row>
    <row r="3">
      <c r="C3" s="32" t="inlineStr">
        <is>
          <t>t=10においてwを1回だけ+1する。変更前後のYの差が動学乗数 phi^j と一致することを確認する。</t>
        </is>
      </c>
    </row>
    <row r="9">
      <c r="C9" s="33" t="inlineStr">
        <is>
          <t>t</t>
        </is>
      </c>
      <c r="D9" s="34" t="inlineStr">
        <is>
          <t>w</t>
        </is>
      </c>
      <c r="E9" s="34" t="inlineStr">
        <is>
          <t>Y0</t>
        </is>
      </c>
      <c r="F9" s="35" t="n"/>
      <c r="G9" s="34" t="inlineStr">
        <is>
          <t>w(変更後)</t>
        </is>
      </c>
      <c r="H9" s="34" t="inlineStr">
        <is>
          <t>Y1</t>
        </is>
      </c>
      <c r="I9" s="35" t="n"/>
      <c r="J9" s="34" t="inlineStr">
        <is>
          <t>Ydiff=Y1-Y0</t>
        </is>
      </c>
      <c r="K9" s="36" t="inlineStr">
        <is>
          <t>確認</t>
        </is>
      </c>
    </row>
    <row r="10">
      <c r="C10" s="37" t="n">
        <v>0</v>
      </c>
      <c r="D10" s="38" t="n"/>
      <c r="E10" s="38" t="n">
        <v>0</v>
      </c>
      <c r="F10" s="38" t="n"/>
      <c r="G10" s="38" t="n"/>
      <c r="H10" s="38" t="n">
        <v>0</v>
      </c>
      <c r="I10" s="38" t="n"/>
      <c r="J10" s="38" t="n">
        <v>0</v>
      </c>
      <c r="K10" s="39" t="inlineStr">
        <is>
          <t>初期値は同じなので差は0。</t>
        </is>
      </c>
    </row>
    <row r="11">
      <c r="C11" s="37" t="n">
        <v>1</v>
      </c>
      <c r="D11" s="38" t="n">
        <v>0.85</v>
      </c>
      <c r="E11" s="38">
        <f>E10*1.0+D11</f>
        <v/>
      </c>
      <c r="F11" s="38" t="n"/>
      <c r="G11" s="38">
        <f>D11</f>
        <v/>
      </c>
      <c r="H11" s="38">
        <f>H10*1.0+G11</f>
        <v/>
      </c>
      <c r="I11" s="38" t="n"/>
      <c r="J11" s="38">
        <f>H11-E11</f>
        <v/>
      </c>
      <c r="K11" s="39" t="inlineStr">
        <is>
          <t>ショック前なので差は0。</t>
        </is>
      </c>
    </row>
    <row r="12">
      <c r="C12" s="37" t="n">
        <v>2</v>
      </c>
      <c r="D12" s="38" t="n">
        <v>-0.87</v>
      </c>
      <c r="E12" s="38">
        <f>E11*1.0+D12</f>
        <v/>
      </c>
      <c r="F12" s="38" t="n"/>
      <c r="G12" s="38">
        <f>D12</f>
        <v/>
      </c>
      <c r="H12" s="38">
        <f>H11*1.0+G12</f>
        <v/>
      </c>
      <c r="I12" s="38" t="n"/>
      <c r="J12" s="38">
        <f>H12-E12</f>
        <v/>
      </c>
      <c r="K12" s="39" t="inlineStr">
        <is>
          <t>ショック前なので差は0。</t>
        </is>
      </c>
    </row>
    <row r="13">
      <c r="C13" s="37" t="n">
        <v>3</v>
      </c>
      <c r="D13" s="38" t="n">
        <v>0.46</v>
      </c>
      <c r="E13" s="38">
        <f>E12*1.0+D13</f>
        <v/>
      </c>
      <c r="F13" s="38" t="n"/>
      <c r="G13" s="38">
        <f>D13</f>
        <v/>
      </c>
      <c r="H13" s="38">
        <f>H12*1.0+G13</f>
        <v/>
      </c>
      <c r="I13" s="38" t="n"/>
      <c r="J13" s="38">
        <f>H13-E13</f>
        <v/>
      </c>
      <c r="K13" s="39" t="inlineStr">
        <is>
          <t>ショック前なので差は0。</t>
        </is>
      </c>
    </row>
    <row r="14">
      <c r="C14" s="37" t="n">
        <v>4</v>
      </c>
      <c r="D14" s="38" t="n">
        <v>0.36</v>
      </c>
      <c r="E14" s="38">
        <f>E13*1.0+D14</f>
        <v/>
      </c>
      <c r="F14" s="38" t="n"/>
      <c r="G14" s="38">
        <f>D14</f>
        <v/>
      </c>
      <c r="H14" s="38">
        <f>H13*1.0+G14</f>
        <v/>
      </c>
      <c r="I14" s="38" t="n"/>
      <c r="J14" s="38">
        <f>H14-E14</f>
        <v/>
      </c>
      <c r="K14" s="39" t="inlineStr">
        <is>
          <t>ショック前なので差は0。</t>
        </is>
      </c>
    </row>
    <row r="15">
      <c r="C15" s="37" t="n">
        <v>5</v>
      </c>
      <c r="D15" s="38" t="n">
        <v>-0.03</v>
      </c>
      <c r="E15" s="38">
        <f>E14*1.0+D15</f>
        <v/>
      </c>
      <c r="F15" s="38" t="n"/>
      <c r="G15" s="38">
        <f>D15</f>
        <v/>
      </c>
      <c r="H15" s="38">
        <f>H14*1.0+G15</f>
        <v/>
      </c>
      <c r="I15" s="38" t="n"/>
      <c r="J15" s="38">
        <f>H15-E15</f>
        <v/>
      </c>
      <c r="K15" s="39" t="inlineStr">
        <is>
          <t>ショック前なので差は0。</t>
        </is>
      </c>
    </row>
    <row r="16">
      <c r="C16" s="37" t="n">
        <v>6</v>
      </c>
      <c r="D16" s="38" t="n">
        <v>0.78</v>
      </c>
      <c r="E16" s="38">
        <f>E15*1.0+D16</f>
        <v/>
      </c>
      <c r="F16" s="38" t="n"/>
      <c r="G16" s="38">
        <f>D16</f>
        <v/>
      </c>
      <c r="H16" s="38">
        <f>H15*1.0+G16</f>
        <v/>
      </c>
      <c r="I16" s="38" t="n"/>
      <c r="J16" s="38">
        <f>H16-E16</f>
        <v/>
      </c>
      <c r="K16" s="39" t="inlineStr">
        <is>
          <t>ショック前なので差は0。</t>
        </is>
      </c>
    </row>
    <row r="17">
      <c r="C17" s="37" t="n">
        <v>7</v>
      </c>
      <c r="D17" s="38" t="n">
        <v>-0.82</v>
      </c>
      <c r="E17" s="38">
        <f>E16*1.0+D17</f>
        <v/>
      </c>
      <c r="F17" s="38" t="n"/>
      <c r="G17" s="38">
        <f>D17</f>
        <v/>
      </c>
      <c r="H17" s="38">
        <f>H16*1.0+G17</f>
        <v/>
      </c>
      <c r="I17" s="38" t="n"/>
      <c r="J17" s="38">
        <f>H17-E17</f>
        <v/>
      </c>
      <c r="K17" s="39" t="inlineStr">
        <is>
          <t>ショック前なので差は0。</t>
        </is>
      </c>
    </row>
    <row r="18">
      <c r="C18" s="37" t="n">
        <v>8</v>
      </c>
      <c r="D18" s="38" t="n">
        <v>1.2</v>
      </c>
      <c r="E18" s="38">
        <f>E17*1.0+D18</f>
        <v/>
      </c>
      <c r="F18" s="38" t="n"/>
      <c r="G18" s="38">
        <f>D18</f>
        <v/>
      </c>
      <c r="H18" s="38">
        <f>H17*1.0+G18</f>
        <v/>
      </c>
      <c r="I18" s="38" t="n"/>
      <c r="J18" s="38">
        <f>H18-E18</f>
        <v/>
      </c>
      <c r="K18" s="39" t="inlineStr">
        <is>
          <t>ショック前なので差は0。</t>
        </is>
      </c>
    </row>
    <row r="19">
      <c r="C19" s="37" t="n">
        <v>9</v>
      </c>
      <c r="D19" s="38" t="n">
        <v>1.38</v>
      </c>
      <c r="E19" s="38">
        <f>E18*1.0+D19</f>
        <v/>
      </c>
      <c r="F19" s="38" t="n"/>
      <c r="G19" s="38">
        <f>D19</f>
        <v/>
      </c>
      <c r="H19" s="38">
        <f>H18*1.0+G19</f>
        <v/>
      </c>
      <c r="I19" s="38" t="n"/>
      <c r="J19" s="38">
        <f>H19-E19</f>
        <v/>
      </c>
      <c r="K19" s="39" t="inlineStr">
        <is>
          <t>ショック前なので差は0。</t>
        </is>
      </c>
    </row>
    <row r="20">
      <c r="C20" s="37" t="n">
        <v>10</v>
      </c>
      <c r="D20" s="38" t="n">
        <v>-0.5</v>
      </c>
      <c r="E20" s="38">
        <f>E19*1.0+D20</f>
        <v/>
      </c>
      <c r="F20" s="38" t="n"/>
      <c r="G20" s="40">
        <f>D20+1</f>
        <v/>
      </c>
      <c r="H20" s="38">
        <f>H19*1.0+G20</f>
        <v/>
      </c>
      <c r="I20" s="38" t="n"/>
      <c r="J20" s="38">
        <f>H20-E20</f>
        <v/>
      </c>
      <c r="K20" s="39" t="inlineStr">
        <is>
          <t>j=0: phi^j = 1.0^0</t>
        </is>
      </c>
    </row>
    <row r="21">
      <c r="C21" s="37" t="n">
        <v>11</v>
      </c>
      <c r="D21" s="38" t="n">
        <v>1.33</v>
      </c>
      <c r="E21" s="38">
        <f>E20*1.0+D21</f>
        <v/>
      </c>
      <c r="F21" s="38" t="n"/>
      <c r="G21" s="38">
        <f>D21</f>
        <v/>
      </c>
      <c r="H21" s="38">
        <f>H20*1.0+G21</f>
        <v/>
      </c>
      <c r="I21" s="38" t="n"/>
      <c r="J21" s="38">
        <f>H21-E21</f>
        <v/>
      </c>
      <c r="K21" s="39" t="inlineStr">
        <is>
          <t>j=1: phi^j = 1.0^1</t>
        </is>
      </c>
    </row>
    <row r="22">
      <c r="C22" s="37" t="n">
        <v>12</v>
      </c>
      <c r="D22" s="38" t="n">
        <v>-0.68</v>
      </c>
      <c r="E22" s="38">
        <f>E21*1.0+D22</f>
        <v/>
      </c>
      <c r="F22" s="38" t="n"/>
      <c r="G22" s="38">
        <f>D22</f>
        <v/>
      </c>
      <c r="H22" s="38">
        <f>H21*1.0+G22</f>
        <v/>
      </c>
      <c r="I22" s="38" t="n"/>
      <c r="J22" s="38">
        <f>H22-E22</f>
        <v/>
      </c>
      <c r="K22" s="39" t="inlineStr">
        <is>
          <t>j=2: phi^j = 1.0^2</t>
        </is>
      </c>
    </row>
    <row r="23">
      <c r="C23" s="37" t="n">
        <v>13</v>
      </c>
      <c r="D23" s="38" t="n">
        <v>3.09</v>
      </c>
      <c r="E23" s="38">
        <f>E22*1.0+D23</f>
        <v/>
      </c>
      <c r="F23" s="38" t="n"/>
      <c r="G23" s="38">
        <f>D23</f>
        <v/>
      </c>
      <c r="H23" s="38">
        <f>H22*1.0+G23</f>
        <v/>
      </c>
      <c r="I23" s="38" t="n"/>
      <c r="J23" s="38">
        <f>H23-E23</f>
        <v/>
      </c>
      <c r="K23" s="39" t="inlineStr">
        <is>
          <t>j=3: phi^j = 1.0^3</t>
        </is>
      </c>
    </row>
    <row r="24">
      <c r="C24" s="37" t="n">
        <v>14</v>
      </c>
      <c r="D24" s="38" t="n">
        <v>-0.46</v>
      </c>
      <c r="E24" s="38">
        <f>E23*1.0+D24</f>
        <v/>
      </c>
      <c r="F24" s="38" t="n"/>
      <c r="G24" s="38">
        <f>D24</f>
        <v/>
      </c>
      <c r="H24" s="38">
        <f>H23*1.0+G24</f>
        <v/>
      </c>
      <c r="I24" s="38" t="n"/>
      <c r="J24" s="38">
        <f>H24-E24</f>
        <v/>
      </c>
      <c r="K24" s="39" t="inlineStr">
        <is>
          <t>j=4: phi^j = 1.0^4</t>
        </is>
      </c>
    </row>
    <row r="25">
      <c r="C25" s="37" t="n">
        <v>15</v>
      </c>
      <c r="D25" s="38" t="n">
        <v>-1.34</v>
      </c>
      <c r="E25" s="38">
        <f>E24*1.0+D25</f>
        <v/>
      </c>
      <c r="F25" s="38" t="n"/>
      <c r="G25" s="38">
        <f>D25</f>
        <v/>
      </c>
      <c r="H25" s="38">
        <f>H24*1.0+G25</f>
        <v/>
      </c>
      <c r="I25" s="38" t="n"/>
      <c r="J25" s="38">
        <f>H25-E25</f>
        <v/>
      </c>
      <c r="K25" s="39" t="inlineStr">
        <is>
          <t>j=5: phi^j = 1.0^5</t>
        </is>
      </c>
    </row>
    <row r="26">
      <c r="C26" s="37" t="n">
        <v>16</v>
      </c>
      <c r="D26" s="38" t="n">
        <v>-1.28</v>
      </c>
      <c r="E26" s="38">
        <f>E25*1.0+D26</f>
        <v/>
      </c>
      <c r="F26" s="38" t="n"/>
      <c r="G26" s="38">
        <f>D26</f>
        <v/>
      </c>
      <c r="H26" s="38">
        <f>H25*1.0+G26</f>
        <v/>
      </c>
      <c r="I26" s="38" t="n"/>
      <c r="J26" s="38">
        <f>H26-E26</f>
        <v/>
      </c>
      <c r="K26" s="39" t="inlineStr">
        <is>
          <t>j=6: phi^j = 1.0^6</t>
        </is>
      </c>
    </row>
    <row r="27">
      <c r="C27" s="37" t="n">
        <v>17</v>
      </c>
      <c r="D27" s="38" t="n">
        <v>-0.51</v>
      </c>
      <c r="E27" s="38">
        <f>E26*1.0+D27</f>
        <v/>
      </c>
      <c r="F27" s="38" t="n"/>
      <c r="G27" s="38">
        <f>D27</f>
        <v/>
      </c>
      <c r="H27" s="38">
        <f>H26*1.0+G27</f>
        <v/>
      </c>
      <c r="I27" s="38" t="n"/>
      <c r="J27" s="38">
        <f>H27-E27</f>
        <v/>
      </c>
      <c r="K27" s="39" t="inlineStr">
        <is>
          <t>j=7: phi^j = 1.0^7</t>
        </is>
      </c>
    </row>
    <row r="28">
      <c r="C28" s="37" t="n">
        <v>18</v>
      </c>
      <c r="D28" s="38" t="n">
        <v>-0.07000000000000001</v>
      </c>
      <c r="E28" s="38">
        <f>E27*1.0+D28</f>
        <v/>
      </c>
      <c r="F28" s="38" t="n"/>
      <c r="G28" s="38">
        <f>D28</f>
        <v/>
      </c>
      <c r="H28" s="38">
        <f>H27*1.0+G28</f>
        <v/>
      </c>
      <c r="I28" s="38" t="n"/>
      <c r="J28" s="38">
        <f>H28-E28</f>
        <v/>
      </c>
      <c r="K28" s="39" t="inlineStr">
        <is>
          <t>j=8: phi^j = 1.0^8</t>
        </is>
      </c>
    </row>
    <row r="29">
      <c r="C29" s="37" t="n">
        <v>19</v>
      </c>
      <c r="D29" s="38" t="n">
        <v>-0.51</v>
      </c>
      <c r="E29" s="38">
        <f>E28*1.0+D29</f>
        <v/>
      </c>
      <c r="F29" s="38" t="n"/>
      <c r="G29" s="38">
        <f>D29</f>
        <v/>
      </c>
      <c r="H29" s="38">
        <f>H28*1.0+G29</f>
        <v/>
      </c>
      <c r="I29" s="38" t="n"/>
      <c r="J29" s="38">
        <f>H29-E29</f>
        <v/>
      </c>
      <c r="K29" s="39" t="inlineStr">
        <is>
          <t>j=9: phi^j = 1.0^9</t>
        </is>
      </c>
    </row>
    <row r="30">
      <c r="C30" s="41" t="n">
        <v>20</v>
      </c>
      <c r="D30" s="42" t="n">
        <v>-0.93</v>
      </c>
      <c r="E30" s="42">
        <f>E29*1.0+D30</f>
        <v/>
      </c>
      <c r="F30" s="42" t="n"/>
      <c r="G30" s="42">
        <f>D30</f>
        <v/>
      </c>
      <c r="H30" s="42">
        <f>H29*1.0+G30</f>
        <v/>
      </c>
      <c r="I30" s="42" t="n"/>
      <c r="J30" s="42">
        <f>H30-E30</f>
        <v/>
      </c>
      <c r="K30" s="43" t="inlineStr">
        <is>
          <t>j=10: phi^j = 1.0^10</t>
        </is>
      </c>
    </row>
    <row r="33">
      <c r="C33" s="44" t="inlineStr">
        <is>
          <t>考察</t>
        </is>
      </c>
      <c r="D33" s="45" t="inlineStr">
        <is>
          <t>phi=1 なので、t=10の1単位ショックの影響は、その後も常に1のまま残る。0には収束しないが、|phi|&gt;1 のように大きくもならない境界的なケースである。</t>
        </is>
      </c>
    </row>
    <row r="34"/>
    <row r="35"/>
  </sheetData>
  <mergeCells count="3">
    <mergeCell ref="C2:M2"/>
    <mergeCell ref="D33:M35"/>
    <mergeCell ref="C3:M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C2:M36"/>
  <sheetViews>
    <sheetView workbookViewId="0">
      <selection activeCell="A1" sqref="A1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長期的な効果: t=10以降wを恒久的に+1する</t>
        </is>
      </c>
    </row>
    <row r="3">
      <c r="C3" s="32" t="inlineStr">
        <is>
          <t>phi=0.5 と phi=-0.5 の2ケースで、恒久的な変化の効果が 1/(1-phi) に近づくことを確認する。</t>
        </is>
      </c>
    </row>
    <row r="9">
      <c r="C9" s="33" t="inlineStr">
        <is>
          <t>t</t>
        </is>
      </c>
      <c r="D9" s="34" t="inlineStr">
        <is>
          <t>w</t>
        </is>
      </c>
      <c r="E9" s="34" t="inlineStr">
        <is>
          <t>Y0(phi=0.5)</t>
        </is>
      </c>
      <c r="F9" s="35" t="n"/>
      <c r="G9" s="34" t="inlineStr">
        <is>
          <t>w+1(t&gt;=10)</t>
        </is>
      </c>
      <c r="H9" s="34" t="inlineStr">
        <is>
          <t>Y1(phi=0.5)</t>
        </is>
      </c>
      <c r="I9" s="35" t="n"/>
      <c r="J9" s="34" t="inlineStr">
        <is>
          <t>Ydiff</t>
        </is>
      </c>
      <c r="K9" s="34" t="inlineStr">
        <is>
          <t>Y0(phi=-0.5)</t>
        </is>
      </c>
      <c r="L9" s="34" t="inlineStr">
        <is>
          <t>Y1(phi=-0.5)</t>
        </is>
      </c>
      <c r="M9" s="36" t="inlineStr">
        <is>
          <t>Ydiff</t>
        </is>
      </c>
    </row>
    <row r="10">
      <c r="C10" s="37" t="n">
        <v>0</v>
      </c>
      <c r="D10" s="38" t="n"/>
      <c r="E10" s="38" t="n">
        <v>0</v>
      </c>
      <c r="F10" s="38" t="n"/>
      <c r="G10" s="38" t="n"/>
      <c r="H10" s="38" t="n">
        <v>0</v>
      </c>
      <c r="I10" s="38" t="n"/>
      <c r="J10" s="38" t="n">
        <v>0</v>
      </c>
      <c r="K10" s="38" t="n">
        <v>0</v>
      </c>
      <c r="L10" s="38" t="n">
        <v>0</v>
      </c>
      <c r="M10" s="46" t="n">
        <v>0</v>
      </c>
    </row>
    <row r="11">
      <c r="C11" s="37" t="n">
        <v>1</v>
      </c>
      <c r="D11" s="38" t="n">
        <v>0.85</v>
      </c>
      <c r="E11" s="38">
        <f>E10*0.5+D11</f>
        <v/>
      </c>
      <c r="F11" s="38" t="n"/>
      <c r="G11" s="38">
        <f>D11+IF(C11&gt;=10,1,0)</f>
        <v/>
      </c>
      <c r="H11" s="38">
        <f>H10*0.5+G11</f>
        <v/>
      </c>
      <c r="I11" s="38" t="n"/>
      <c r="J11" s="38">
        <f>H11-E11</f>
        <v/>
      </c>
      <c r="K11" s="38">
        <f>K10*(-0.5)+D11</f>
        <v/>
      </c>
      <c r="L11" s="38">
        <f>L10*(-0.5)+G11</f>
        <v/>
      </c>
      <c r="M11" s="46">
        <f>L11-K11</f>
        <v/>
      </c>
    </row>
    <row r="12">
      <c r="C12" s="37" t="n">
        <v>2</v>
      </c>
      <c r="D12" s="38" t="n">
        <v>-0.87</v>
      </c>
      <c r="E12" s="38">
        <f>E11*0.5+D12</f>
        <v/>
      </c>
      <c r="F12" s="38" t="n"/>
      <c r="G12" s="38">
        <f>D12+IF(C12&gt;=10,1,0)</f>
        <v/>
      </c>
      <c r="H12" s="38">
        <f>H11*0.5+G12</f>
        <v/>
      </c>
      <c r="I12" s="38" t="n"/>
      <c r="J12" s="38">
        <f>H12-E12</f>
        <v/>
      </c>
      <c r="K12" s="38">
        <f>K11*(-0.5)+D12</f>
        <v/>
      </c>
      <c r="L12" s="38">
        <f>L11*(-0.5)+G12</f>
        <v/>
      </c>
      <c r="M12" s="46">
        <f>L12-K12</f>
        <v/>
      </c>
    </row>
    <row r="13">
      <c r="C13" s="37" t="n">
        <v>3</v>
      </c>
      <c r="D13" s="38" t="n">
        <v>0.46</v>
      </c>
      <c r="E13" s="38">
        <f>E12*0.5+D13</f>
        <v/>
      </c>
      <c r="F13" s="38" t="n"/>
      <c r="G13" s="38">
        <f>D13+IF(C13&gt;=10,1,0)</f>
        <v/>
      </c>
      <c r="H13" s="38">
        <f>H12*0.5+G13</f>
        <v/>
      </c>
      <c r="I13" s="38" t="n"/>
      <c r="J13" s="38">
        <f>H13-E13</f>
        <v/>
      </c>
      <c r="K13" s="38">
        <f>K12*(-0.5)+D13</f>
        <v/>
      </c>
      <c r="L13" s="38">
        <f>L12*(-0.5)+G13</f>
        <v/>
      </c>
      <c r="M13" s="46">
        <f>L13-K13</f>
        <v/>
      </c>
    </row>
    <row r="14">
      <c r="C14" s="37" t="n">
        <v>4</v>
      </c>
      <c r="D14" s="38" t="n">
        <v>0.36</v>
      </c>
      <c r="E14" s="38">
        <f>E13*0.5+D14</f>
        <v/>
      </c>
      <c r="F14" s="38" t="n"/>
      <c r="G14" s="38">
        <f>D14+IF(C14&gt;=10,1,0)</f>
        <v/>
      </c>
      <c r="H14" s="38">
        <f>H13*0.5+G14</f>
        <v/>
      </c>
      <c r="I14" s="38" t="n"/>
      <c r="J14" s="38">
        <f>H14-E14</f>
        <v/>
      </c>
      <c r="K14" s="38">
        <f>K13*(-0.5)+D14</f>
        <v/>
      </c>
      <c r="L14" s="38">
        <f>L13*(-0.5)+G14</f>
        <v/>
      </c>
      <c r="M14" s="46">
        <f>L14-K14</f>
        <v/>
      </c>
    </row>
    <row r="15">
      <c r="C15" s="37" t="n">
        <v>5</v>
      </c>
      <c r="D15" s="38" t="n">
        <v>-0.03</v>
      </c>
      <c r="E15" s="38">
        <f>E14*0.5+D15</f>
        <v/>
      </c>
      <c r="F15" s="38" t="n"/>
      <c r="G15" s="38">
        <f>D15+IF(C15&gt;=10,1,0)</f>
        <v/>
      </c>
      <c r="H15" s="38">
        <f>H14*0.5+G15</f>
        <v/>
      </c>
      <c r="I15" s="38" t="n"/>
      <c r="J15" s="38">
        <f>H15-E15</f>
        <v/>
      </c>
      <c r="K15" s="38">
        <f>K14*(-0.5)+D15</f>
        <v/>
      </c>
      <c r="L15" s="38">
        <f>L14*(-0.5)+G15</f>
        <v/>
      </c>
      <c r="M15" s="46">
        <f>L15-K15</f>
        <v/>
      </c>
    </row>
    <row r="16">
      <c r="C16" s="37" t="n">
        <v>6</v>
      </c>
      <c r="D16" s="38" t="n">
        <v>0.78</v>
      </c>
      <c r="E16" s="38">
        <f>E15*0.5+D16</f>
        <v/>
      </c>
      <c r="F16" s="38" t="n"/>
      <c r="G16" s="38">
        <f>D16+IF(C16&gt;=10,1,0)</f>
        <v/>
      </c>
      <c r="H16" s="38">
        <f>H15*0.5+G16</f>
        <v/>
      </c>
      <c r="I16" s="38" t="n"/>
      <c r="J16" s="38">
        <f>H16-E16</f>
        <v/>
      </c>
      <c r="K16" s="38">
        <f>K15*(-0.5)+D16</f>
        <v/>
      </c>
      <c r="L16" s="38">
        <f>L15*(-0.5)+G16</f>
        <v/>
      </c>
      <c r="M16" s="46">
        <f>L16-K16</f>
        <v/>
      </c>
    </row>
    <row r="17">
      <c r="C17" s="37" t="n">
        <v>7</v>
      </c>
      <c r="D17" s="38" t="n">
        <v>-0.82</v>
      </c>
      <c r="E17" s="38">
        <f>E16*0.5+D17</f>
        <v/>
      </c>
      <c r="F17" s="38" t="n"/>
      <c r="G17" s="38">
        <f>D17+IF(C17&gt;=10,1,0)</f>
        <v/>
      </c>
      <c r="H17" s="38">
        <f>H16*0.5+G17</f>
        <v/>
      </c>
      <c r="I17" s="38" t="n"/>
      <c r="J17" s="38">
        <f>H17-E17</f>
        <v/>
      </c>
      <c r="K17" s="38">
        <f>K16*(-0.5)+D17</f>
        <v/>
      </c>
      <c r="L17" s="38">
        <f>L16*(-0.5)+G17</f>
        <v/>
      </c>
      <c r="M17" s="46">
        <f>L17-K17</f>
        <v/>
      </c>
    </row>
    <row r="18">
      <c r="C18" s="37" t="n">
        <v>8</v>
      </c>
      <c r="D18" s="38" t="n">
        <v>1.2</v>
      </c>
      <c r="E18" s="38">
        <f>E17*0.5+D18</f>
        <v/>
      </c>
      <c r="F18" s="38" t="n"/>
      <c r="G18" s="38">
        <f>D18+IF(C18&gt;=10,1,0)</f>
        <v/>
      </c>
      <c r="H18" s="38">
        <f>H17*0.5+G18</f>
        <v/>
      </c>
      <c r="I18" s="38" t="n"/>
      <c r="J18" s="38">
        <f>H18-E18</f>
        <v/>
      </c>
      <c r="K18" s="38">
        <f>K17*(-0.5)+D18</f>
        <v/>
      </c>
      <c r="L18" s="38">
        <f>L17*(-0.5)+G18</f>
        <v/>
      </c>
      <c r="M18" s="46">
        <f>L18-K18</f>
        <v/>
      </c>
    </row>
    <row r="19">
      <c r="C19" s="37" t="n">
        <v>9</v>
      </c>
      <c r="D19" s="38" t="n">
        <v>1.38</v>
      </c>
      <c r="E19" s="38">
        <f>E18*0.5+D19</f>
        <v/>
      </c>
      <c r="F19" s="38" t="n"/>
      <c r="G19" s="38">
        <f>D19+IF(C19&gt;=10,1,0)</f>
        <v/>
      </c>
      <c r="H19" s="38">
        <f>H18*0.5+G19</f>
        <v/>
      </c>
      <c r="I19" s="38" t="n"/>
      <c r="J19" s="38">
        <f>H19-E19</f>
        <v/>
      </c>
      <c r="K19" s="38">
        <f>K18*(-0.5)+D19</f>
        <v/>
      </c>
      <c r="L19" s="38">
        <f>L18*(-0.5)+G19</f>
        <v/>
      </c>
      <c r="M19" s="46">
        <f>L19-K19</f>
        <v/>
      </c>
    </row>
    <row r="20">
      <c r="C20" s="37" t="n">
        <v>10</v>
      </c>
      <c r="D20" s="38" t="n">
        <v>-0.5</v>
      </c>
      <c r="E20" s="38">
        <f>E19*0.5+D20</f>
        <v/>
      </c>
      <c r="F20" s="38" t="n"/>
      <c r="G20" s="40">
        <f>D20+IF(C20&gt;=10,1,0)</f>
        <v/>
      </c>
      <c r="H20" s="38">
        <f>H19*0.5+G20</f>
        <v/>
      </c>
      <c r="I20" s="38" t="n"/>
      <c r="J20" s="38">
        <f>H20-E20</f>
        <v/>
      </c>
      <c r="K20" s="38">
        <f>K19*(-0.5)+D20</f>
        <v/>
      </c>
      <c r="L20" s="38">
        <f>L19*(-0.5)+G20</f>
        <v/>
      </c>
      <c r="M20" s="46">
        <f>L20-K20</f>
        <v/>
      </c>
    </row>
    <row r="21">
      <c r="C21" s="37" t="n">
        <v>11</v>
      </c>
      <c r="D21" s="38" t="n">
        <v>1.33</v>
      </c>
      <c r="E21" s="38">
        <f>E20*0.5+D21</f>
        <v/>
      </c>
      <c r="F21" s="38" t="n"/>
      <c r="G21" s="40">
        <f>D21+IF(C21&gt;=10,1,0)</f>
        <v/>
      </c>
      <c r="H21" s="38">
        <f>H20*0.5+G21</f>
        <v/>
      </c>
      <c r="I21" s="38" t="n"/>
      <c r="J21" s="38">
        <f>H21-E21</f>
        <v/>
      </c>
      <c r="K21" s="38">
        <f>K20*(-0.5)+D21</f>
        <v/>
      </c>
      <c r="L21" s="38">
        <f>L20*(-0.5)+G21</f>
        <v/>
      </c>
      <c r="M21" s="46">
        <f>L21-K21</f>
        <v/>
      </c>
    </row>
    <row r="22">
      <c r="C22" s="37" t="n">
        <v>12</v>
      </c>
      <c r="D22" s="38" t="n">
        <v>-0.68</v>
      </c>
      <c r="E22" s="38">
        <f>E21*0.5+D22</f>
        <v/>
      </c>
      <c r="F22" s="38" t="n"/>
      <c r="G22" s="40">
        <f>D22+IF(C22&gt;=10,1,0)</f>
        <v/>
      </c>
      <c r="H22" s="38">
        <f>H21*0.5+G22</f>
        <v/>
      </c>
      <c r="I22" s="38" t="n"/>
      <c r="J22" s="38">
        <f>H22-E22</f>
        <v/>
      </c>
      <c r="K22" s="38">
        <f>K21*(-0.5)+D22</f>
        <v/>
      </c>
      <c r="L22" s="38">
        <f>L21*(-0.5)+G22</f>
        <v/>
      </c>
      <c r="M22" s="46">
        <f>L22-K22</f>
        <v/>
      </c>
    </row>
    <row r="23">
      <c r="C23" s="37" t="n">
        <v>13</v>
      </c>
      <c r="D23" s="38" t="n">
        <v>3.09</v>
      </c>
      <c r="E23" s="38">
        <f>E22*0.5+D23</f>
        <v/>
      </c>
      <c r="F23" s="38" t="n"/>
      <c r="G23" s="40">
        <f>D23+IF(C23&gt;=10,1,0)</f>
        <v/>
      </c>
      <c r="H23" s="38">
        <f>H22*0.5+G23</f>
        <v/>
      </c>
      <c r="I23" s="38" t="n"/>
      <c r="J23" s="38">
        <f>H23-E23</f>
        <v/>
      </c>
      <c r="K23" s="38">
        <f>K22*(-0.5)+D23</f>
        <v/>
      </c>
      <c r="L23" s="38">
        <f>L22*(-0.5)+G23</f>
        <v/>
      </c>
      <c r="M23" s="46">
        <f>L23-K23</f>
        <v/>
      </c>
    </row>
    <row r="24">
      <c r="C24" s="37" t="n">
        <v>14</v>
      </c>
      <c r="D24" s="38" t="n">
        <v>-0.46</v>
      </c>
      <c r="E24" s="38">
        <f>E23*0.5+D24</f>
        <v/>
      </c>
      <c r="F24" s="38" t="n"/>
      <c r="G24" s="40">
        <f>D24+IF(C24&gt;=10,1,0)</f>
        <v/>
      </c>
      <c r="H24" s="38">
        <f>H23*0.5+G24</f>
        <v/>
      </c>
      <c r="I24" s="38" t="n"/>
      <c r="J24" s="38">
        <f>H24-E24</f>
        <v/>
      </c>
      <c r="K24" s="38">
        <f>K23*(-0.5)+D24</f>
        <v/>
      </c>
      <c r="L24" s="38">
        <f>L23*(-0.5)+G24</f>
        <v/>
      </c>
      <c r="M24" s="46">
        <f>L24-K24</f>
        <v/>
      </c>
    </row>
    <row r="25">
      <c r="C25" s="37" t="n">
        <v>15</v>
      </c>
      <c r="D25" s="38" t="n">
        <v>-1.34</v>
      </c>
      <c r="E25" s="38">
        <f>E24*0.5+D25</f>
        <v/>
      </c>
      <c r="F25" s="38" t="n"/>
      <c r="G25" s="40">
        <f>D25+IF(C25&gt;=10,1,0)</f>
        <v/>
      </c>
      <c r="H25" s="38">
        <f>H24*0.5+G25</f>
        <v/>
      </c>
      <c r="I25" s="38" t="n"/>
      <c r="J25" s="38">
        <f>H25-E25</f>
        <v/>
      </c>
      <c r="K25" s="38">
        <f>K24*(-0.5)+D25</f>
        <v/>
      </c>
      <c r="L25" s="38">
        <f>L24*(-0.5)+G25</f>
        <v/>
      </c>
      <c r="M25" s="46">
        <f>L25-K25</f>
        <v/>
      </c>
    </row>
    <row r="26">
      <c r="C26" s="37" t="n">
        <v>16</v>
      </c>
      <c r="D26" s="38" t="n">
        <v>-1.28</v>
      </c>
      <c r="E26" s="38">
        <f>E25*0.5+D26</f>
        <v/>
      </c>
      <c r="F26" s="38" t="n"/>
      <c r="G26" s="40">
        <f>D26+IF(C26&gt;=10,1,0)</f>
        <v/>
      </c>
      <c r="H26" s="38">
        <f>H25*0.5+G26</f>
        <v/>
      </c>
      <c r="I26" s="38" t="n"/>
      <c r="J26" s="38">
        <f>H26-E26</f>
        <v/>
      </c>
      <c r="K26" s="38">
        <f>K25*(-0.5)+D26</f>
        <v/>
      </c>
      <c r="L26" s="38">
        <f>L25*(-0.5)+G26</f>
        <v/>
      </c>
      <c r="M26" s="46">
        <f>L26-K26</f>
        <v/>
      </c>
    </row>
    <row r="27">
      <c r="C27" s="37" t="n">
        <v>17</v>
      </c>
      <c r="D27" s="38" t="n">
        <v>-0.51</v>
      </c>
      <c r="E27" s="38">
        <f>E26*0.5+D27</f>
        <v/>
      </c>
      <c r="F27" s="38" t="n"/>
      <c r="G27" s="40">
        <f>D27+IF(C27&gt;=10,1,0)</f>
        <v/>
      </c>
      <c r="H27" s="38">
        <f>H26*0.5+G27</f>
        <v/>
      </c>
      <c r="I27" s="38" t="n"/>
      <c r="J27" s="38">
        <f>H27-E27</f>
        <v/>
      </c>
      <c r="K27" s="38">
        <f>K26*(-0.5)+D27</f>
        <v/>
      </c>
      <c r="L27" s="38">
        <f>L26*(-0.5)+G27</f>
        <v/>
      </c>
      <c r="M27" s="46">
        <f>L27-K27</f>
        <v/>
      </c>
    </row>
    <row r="28">
      <c r="C28" s="37" t="n">
        <v>18</v>
      </c>
      <c r="D28" s="38" t="n">
        <v>-0.07000000000000001</v>
      </c>
      <c r="E28" s="38">
        <f>E27*0.5+D28</f>
        <v/>
      </c>
      <c r="F28" s="38" t="n"/>
      <c r="G28" s="40">
        <f>D28+IF(C28&gt;=10,1,0)</f>
        <v/>
      </c>
      <c r="H28" s="38">
        <f>H27*0.5+G28</f>
        <v/>
      </c>
      <c r="I28" s="38" t="n"/>
      <c r="J28" s="38">
        <f>H28-E28</f>
        <v/>
      </c>
      <c r="K28" s="38">
        <f>K27*(-0.5)+D28</f>
        <v/>
      </c>
      <c r="L28" s="38">
        <f>L27*(-0.5)+G28</f>
        <v/>
      </c>
      <c r="M28" s="46">
        <f>L28-K28</f>
        <v/>
      </c>
    </row>
    <row r="29">
      <c r="C29" s="37" t="n">
        <v>19</v>
      </c>
      <c r="D29" s="38" t="n">
        <v>-0.51</v>
      </c>
      <c r="E29" s="38">
        <f>E28*0.5+D29</f>
        <v/>
      </c>
      <c r="F29" s="38" t="n"/>
      <c r="G29" s="40">
        <f>D29+IF(C29&gt;=10,1,0)</f>
        <v/>
      </c>
      <c r="H29" s="38">
        <f>H28*0.5+G29</f>
        <v/>
      </c>
      <c r="I29" s="38" t="n"/>
      <c r="J29" s="38">
        <f>H29-E29</f>
        <v/>
      </c>
      <c r="K29" s="38">
        <f>K28*(-0.5)+D29</f>
        <v/>
      </c>
      <c r="L29" s="38">
        <f>L28*(-0.5)+G29</f>
        <v/>
      </c>
      <c r="M29" s="46">
        <f>L29-K29</f>
        <v/>
      </c>
    </row>
    <row r="30">
      <c r="C30" s="41" t="n">
        <v>20</v>
      </c>
      <c r="D30" s="42" t="n">
        <v>-0.93</v>
      </c>
      <c r="E30" s="42">
        <f>E29*0.5+D30</f>
        <v/>
      </c>
      <c r="F30" s="42" t="n"/>
      <c r="G30" s="47">
        <f>D30+IF(C30&gt;=10,1,0)</f>
        <v/>
      </c>
      <c r="H30" s="42">
        <f>H29*0.5+G30</f>
        <v/>
      </c>
      <c r="I30" s="42" t="n"/>
      <c r="J30" s="42">
        <f>H30-E30</f>
        <v/>
      </c>
      <c r="K30" s="42">
        <f>K29*(-0.5)+D30</f>
        <v/>
      </c>
      <c r="L30" s="42">
        <f>L29*(-0.5)+G30</f>
        <v/>
      </c>
      <c r="M30" s="48">
        <f>L30-K30</f>
        <v/>
      </c>
    </row>
    <row r="33">
      <c r="C33" s="44" t="inlineStr">
        <is>
          <t>考察</t>
        </is>
      </c>
      <c r="D33" s="45" t="inlineStr">
        <is>
          <t>phi=0.5 では Ydiff は 1, 1.5, 1.75, ... と増え、長期効果 1/(1-0.5)=2 に近づく。phi=-0.5 では 1, 0.5, 0.75, 0.625, ... と振動しながら 1/(1-(-0.5))=2/3 に近づく。どちらも |phi|&lt;1 なので長期効果が有限に収束する。</t>
        </is>
      </c>
    </row>
    <row r="34"/>
    <row r="35"/>
    <row r="36"/>
  </sheetData>
  <mergeCells count="3">
    <mergeCell ref="C2:M2"/>
    <mergeCell ref="D33:M36"/>
    <mergeCell ref="C3:M3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C2:M36"/>
  <sheetViews>
    <sheetView workbookViewId="0">
      <selection activeCell="H24" sqref="H24"/>
    </sheetView>
  </sheetViews>
  <sheetFormatPr baseColWidth="8" defaultRowHeight="18.45"/>
  <cols>
    <col width="3" customWidth="1" min="1" max="1"/>
    <col width="4" customWidth="1" min="2" max="2"/>
    <col width="7" customWidth="1" min="3" max="3"/>
    <col width="10" customWidth="1" min="4" max="4"/>
    <col width="12" customWidth="1" min="5" max="5"/>
    <col width="4" customWidth="1" min="6" max="6"/>
    <col width="10" customWidth="1" min="7" max="7"/>
    <col width="12" customWidth="1" min="8" max="8"/>
    <col width="4" customWidth="1" min="9" max="9"/>
    <col width="14" customWidth="1" min="10" max="10"/>
    <col width="46" customWidth="1" min="11" max="11"/>
    <col width="12" customWidth="1" min="12" max="12"/>
    <col width="12" customWidth="1" min="13" max="13"/>
  </cols>
  <sheetData>
    <row r="2">
      <c r="C2" s="31" t="inlineStr">
        <is>
          <t>累積的な影響: 一時的ショックの動学乗数を累積する</t>
        </is>
      </c>
    </row>
    <row r="3">
      <c r="C3" s="32" t="inlineStr">
        <is>
          <t>t=10の一時的な+1ショックについて、Ydiff=phi^j とその累積和を計算し、1/(1-phi) との関係を確認する。</t>
        </is>
      </c>
    </row>
    <row r="9">
      <c r="C9" s="33" t="inlineStr">
        <is>
          <t>j</t>
        </is>
      </c>
      <c r="D9" s="34" t="inlineStr">
        <is>
          <t>phi=0.5 動学乗数</t>
        </is>
      </c>
      <c r="E9" s="34" t="inlineStr">
        <is>
          <t>累積和</t>
        </is>
      </c>
      <c r="F9" s="35" t="n"/>
      <c r="G9" s="34" t="inlineStr">
        <is>
          <t>phi=-0.5 動学乗数</t>
        </is>
      </c>
      <c r="H9" s="34" t="inlineStr">
        <is>
          <t>累積和</t>
        </is>
      </c>
      <c r="I9" s="35" t="n"/>
      <c r="J9" s="34" t="inlineStr">
        <is>
          <t>phi=1 動学乗数</t>
        </is>
      </c>
      <c r="K9" s="36" t="inlineStr">
        <is>
          <t>累積和</t>
        </is>
      </c>
    </row>
    <row r="10">
      <c r="C10" s="37" t="n">
        <v>0</v>
      </c>
      <c r="D10" s="38">
        <f>0.5^C10</f>
        <v/>
      </c>
      <c r="E10" s="38">
        <f>SUM($D$10:D10)</f>
        <v/>
      </c>
      <c r="F10" s="38" t="n"/>
      <c r="G10" s="38">
        <f>(-0.5)^C10</f>
        <v/>
      </c>
      <c r="H10" s="38">
        <f>SUM($G$10:G10)</f>
        <v/>
      </c>
      <c r="I10" s="38" t="n"/>
      <c r="J10" s="38">
        <f>1^C10</f>
        <v/>
      </c>
      <c r="K10" s="46">
        <f>SUM($J$10:J10)</f>
        <v/>
      </c>
    </row>
    <row r="11">
      <c r="C11" s="37" t="n">
        <v>1</v>
      </c>
      <c r="D11" s="38">
        <f>0.5^C11</f>
        <v/>
      </c>
      <c r="E11" s="38">
        <f>SUM($D$10:D11)</f>
        <v/>
      </c>
      <c r="F11" s="38" t="n"/>
      <c r="G11" s="38">
        <f>(-0.5)^C11</f>
        <v/>
      </c>
      <c r="H11" s="38">
        <f>SUM($G$10:G11)</f>
        <v/>
      </c>
      <c r="I11" s="38" t="n"/>
      <c r="J11" s="38">
        <f>1^C11</f>
        <v/>
      </c>
      <c r="K11" s="46">
        <f>SUM($J$10:J11)</f>
        <v/>
      </c>
    </row>
    <row r="12">
      <c r="C12" s="37" t="n">
        <v>2</v>
      </c>
      <c r="D12" s="38">
        <f>0.5^C12</f>
        <v/>
      </c>
      <c r="E12" s="38">
        <f>SUM($D$10:D12)</f>
        <v/>
      </c>
      <c r="F12" s="38" t="n"/>
      <c r="G12" s="38">
        <f>(-0.5)^C12</f>
        <v/>
      </c>
      <c r="H12" s="38">
        <f>SUM($G$10:G12)</f>
        <v/>
      </c>
      <c r="I12" s="38" t="n"/>
      <c r="J12" s="38">
        <f>1^C12</f>
        <v/>
      </c>
      <c r="K12" s="46">
        <f>SUM($J$10:J12)</f>
        <v/>
      </c>
    </row>
    <row r="13">
      <c r="C13" s="37" t="n">
        <v>3</v>
      </c>
      <c r="D13" s="38">
        <f>0.5^C13</f>
        <v/>
      </c>
      <c r="E13" s="38">
        <f>SUM($D$10:D13)</f>
        <v/>
      </c>
      <c r="F13" s="38" t="n"/>
      <c r="G13" s="38">
        <f>(-0.5)^C13</f>
        <v/>
      </c>
      <c r="H13" s="38">
        <f>SUM($G$10:G13)</f>
        <v/>
      </c>
      <c r="I13" s="38" t="n"/>
      <c r="J13" s="38">
        <f>1^C13</f>
        <v/>
      </c>
      <c r="K13" s="46">
        <f>SUM($J$10:J13)</f>
        <v/>
      </c>
    </row>
    <row r="14">
      <c r="C14" s="37" t="n">
        <v>4</v>
      </c>
      <c r="D14" s="38">
        <f>0.5^C14</f>
        <v/>
      </c>
      <c r="E14" s="38">
        <f>SUM($D$10:D14)</f>
        <v/>
      </c>
      <c r="F14" s="38" t="n"/>
      <c r="G14" s="38">
        <f>(-0.5)^C14</f>
        <v/>
      </c>
      <c r="H14" s="38">
        <f>SUM($G$10:G14)</f>
        <v/>
      </c>
      <c r="I14" s="38" t="n"/>
      <c r="J14" s="38">
        <f>1^C14</f>
        <v/>
      </c>
      <c r="K14" s="46">
        <f>SUM($J$10:J14)</f>
        <v/>
      </c>
    </row>
    <row r="15">
      <c r="C15" s="37" t="n">
        <v>5</v>
      </c>
      <c r="D15" s="38">
        <f>0.5^C15</f>
        <v/>
      </c>
      <c r="E15" s="38">
        <f>SUM($D$10:D15)</f>
        <v/>
      </c>
      <c r="F15" s="38" t="n"/>
      <c r="G15" s="38">
        <f>(-0.5)^C15</f>
        <v/>
      </c>
      <c r="H15" s="38">
        <f>SUM($G$10:G15)</f>
        <v/>
      </c>
      <c r="I15" s="38" t="n"/>
      <c r="J15" s="38">
        <f>1^C15</f>
        <v/>
      </c>
      <c r="K15" s="46">
        <f>SUM($J$10:J15)</f>
        <v/>
      </c>
    </row>
    <row r="16">
      <c r="C16" s="37" t="n">
        <v>6</v>
      </c>
      <c r="D16" s="38">
        <f>0.5^C16</f>
        <v/>
      </c>
      <c r="E16" s="38">
        <f>SUM($D$10:D16)</f>
        <v/>
      </c>
      <c r="F16" s="38" t="n"/>
      <c r="G16" s="38">
        <f>(-0.5)^C16</f>
        <v/>
      </c>
      <c r="H16" s="38">
        <f>SUM($G$10:G16)</f>
        <v/>
      </c>
      <c r="I16" s="38" t="n"/>
      <c r="J16" s="38">
        <f>1^C16</f>
        <v/>
      </c>
      <c r="K16" s="46">
        <f>SUM($J$10:J16)</f>
        <v/>
      </c>
    </row>
    <row r="17">
      <c r="C17" s="37" t="n">
        <v>7</v>
      </c>
      <c r="D17" s="38">
        <f>0.5^C17</f>
        <v/>
      </c>
      <c r="E17" s="38">
        <f>SUM($D$10:D17)</f>
        <v/>
      </c>
      <c r="F17" s="38" t="n"/>
      <c r="G17" s="38">
        <f>(-0.5)^C17</f>
        <v/>
      </c>
      <c r="H17" s="38">
        <f>SUM($G$10:G17)</f>
        <v/>
      </c>
      <c r="I17" s="38" t="n"/>
      <c r="J17" s="38">
        <f>1^C17</f>
        <v/>
      </c>
      <c r="K17" s="46">
        <f>SUM($J$10:J17)</f>
        <v/>
      </c>
    </row>
    <row r="18">
      <c r="C18" s="37" t="n">
        <v>8</v>
      </c>
      <c r="D18" s="38">
        <f>0.5^C18</f>
        <v/>
      </c>
      <c r="E18" s="38">
        <f>SUM($D$10:D18)</f>
        <v/>
      </c>
      <c r="F18" s="38" t="n"/>
      <c r="G18" s="38">
        <f>(-0.5)^C18</f>
        <v/>
      </c>
      <c r="H18" s="38">
        <f>SUM($G$10:G18)</f>
        <v/>
      </c>
      <c r="I18" s="38" t="n"/>
      <c r="J18" s="38">
        <f>1^C18</f>
        <v/>
      </c>
      <c r="K18" s="46">
        <f>SUM($J$10:J18)</f>
        <v/>
      </c>
    </row>
    <row r="19">
      <c r="C19" s="37" t="n">
        <v>9</v>
      </c>
      <c r="D19" s="38">
        <f>0.5^C19</f>
        <v/>
      </c>
      <c r="E19" s="38">
        <f>SUM($D$10:D19)</f>
        <v/>
      </c>
      <c r="F19" s="38" t="n"/>
      <c r="G19" s="38">
        <f>(-0.5)^C19</f>
        <v/>
      </c>
      <c r="H19" s="38">
        <f>SUM($G$10:G19)</f>
        <v/>
      </c>
      <c r="I19" s="38" t="n"/>
      <c r="J19" s="38">
        <f>1^C19</f>
        <v/>
      </c>
      <c r="K19" s="46">
        <f>SUM($J$10:J19)</f>
        <v/>
      </c>
    </row>
    <row r="20">
      <c r="C20" s="37" t="n">
        <v>10</v>
      </c>
      <c r="D20" s="38">
        <f>0.5^C20</f>
        <v/>
      </c>
      <c r="E20" s="38">
        <f>SUM($D$10:D20)</f>
        <v/>
      </c>
      <c r="F20" s="38" t="n"/>
      <c r="G20" s="38">
        <f>(-0.5)^C20</f>
        <v/>
      </c>
      <c r="H20" s="38">
        <f>SUM($G$10:G20)</f>
        <v/>
      </c>
      <c r="I20" s="38" t="n"/>
      <c r="J20" s="38">
        <f>1^C20</f>
        <v/>
      </c>
      <c r="K20" s="46">
        <f>SUM($J$10:J20)</f>
        <v/>
      </c>
    </row>
    <row r="21">
      <c r="C21" s="37" t="n">
        <v>11</v>
      </c>
      <c r="D21" s="38">
        <f>0.5^C21</f>
        <v/>
      </c>
      <c r="E21" s="38">
        <f>SUM($D$10:D21)</f>
        <v/>
      </c>
      <c r="F21" s="38" t="n"/>
      <c r="G21" s="38">
        <f>(-0.5)^C21</f>
        <v/>
      </c>
      <c r="H21" s="38">
        <f>SUM($G$10:G21)</f>
        <v/>
      </c>
      <c r="I21" s="38" t="n"/>
      <c r="J21" s="38">
        <f>1^C21</f>
        <v/>
      </c>
      <c r="K21" s="46">
        <f>SUM($J$10:J21)</f>
        <v/>
      </c>
    </row>
    <row r="22">
      <c r="C22" s="37" t="n">
        <v>12</v>
      </c>
      <c r="D22" s="38">
        <f>0.5^C22</f>
        <v/>
      </c>
      <c r="E22" s="38">
        <f>SUM($D$10:D22)</f>
        <v/>
      </c>
      <c r="F22" s="38" t="n"/>
      <c r="G22" s="38">
        <f>(-0.5)^C22</f>
        <v/>
      </c>
      <c r="H22" s="38">
        <f>SUM($G$10:G22)</f>
        <v/>
      </c>
      <c r="I22" s="38" t="n"/>
      <c r="J22" s="38">
        <f>1^C22</f>
        <v/>
      </c>
      <c r="K22" s="46">
        <f>SUM($J$10:J22)</f>
        <v/>
      </c>
    </row>
    <row r="23">
      <c r="C23" s="37" t="n">
        <v>13</v>
      </c>
      <c r="D23" s="38">
        <f>0.5^C23</f>
        <v/>
      </c>
      <c r="E23" s="38">
        <f>SUM($D$10:D23)</f>
        <v/>
      </c>
      <c r="F23" s="38" t="n"/>
      <c r="G23" s="38">
        <f>(-0.5)^C23</f>
        <v/>
      </c>
      <c r="H23" s="38">
        <f>SUM($G$10:G23)</f>
        <v/>
      </c>
      <c r="I23" s="38" t="n"/>
      <c r="J23" s="38">
        <f>1^C23</f>
        <v/>
      </c>
      <c r="K23" s="46">
        <f>SUM($J$10:J23)</f>
        <v/>
      </c>
    </row>
    <row r="24">
      <c r="C24" s="37" t="n">
        <v>14</v>
      </c>
      <c r="D24" s="38">
        <f>0.5^C24</f>
        <v/>
      </c>
      <c r="E24" s="38">
        <f>SUM($D$10:D24)</f>
        <v/>
      </c>
      <c r="F24" s="38" t="n"/>
      <c r="G24" s="38">
        <f>(-0.5)^C24</f>
        <v/>
      </c>
      <c r="H24" s="38">
        <f>SUM($G$10:G24)</f>
        <v/>
      </c>
      <c r="I24" s="38" t="n"/>
      <c r="J24" s="38">
        <f>1^C24</f>
        <v/>
      </c>
      <c r="K24" s="46">
        <f>SUM($J$10:J24)</f>
        <v/>
      </c>
    </row>
    <row r="25">
      <c r="C25" s="37" t="n">
        <v>15</v>
      </c>
      <c r="D25" s="38">
        <f>0.5^C25</f>
        <v/>
      </c>
      <c r="E25" s="38">
        <f>SUM($D$10:D25)</f>
        <v/>
      </c>
      <c r="F25" s="38" t="n"/>
      <c r="G25" s="38">
        <f>(-0.5)^C25</f>
        <v/>
      </c>
      <c r="H25" s="38">
        <f>SUM($G$10:G25)</f>
        <v/>
      </c>
      <c r="I25" s="38" t="n"/>
      <c r="J25" s="38">
        <f>1^C25</f>
        <v/>
      </c>
      <c r="K25" s="46">
        <f>SUM($J$10:J25)</f>
        <v/>
      </c>
    </row>
    <row r="26">
      <c r="C26" s="37" t="n">
        <v>16</v>
      </c>
      <c r="D26" s="38">
        <f>0.5^C26</f>
        <v/>
      </c>
      <c r="E26" s="38">
        <f>SUM($D$10:D26)</f>
        <v/>
      </c>
      <c r="F26" s="38" t="n"/>
      <c r="G26" s="38">
        <f>(-0.5)^C26</f>
        <v/>
      </c>
      <c r="H26" s="38">
        <f>SUM($G$10:G26)</f>
        <v/>
      </c>
      <c r="I26" s="38" t="n"/>
      <c r="J26" s="38">
        <f>1^C26</f>
        <v/>
      </c>
      <c r="K26" s="46">
        <f>SUM($J$10:J26)</f>
        <v/>
      </c>
    </row>
    <row r="27">
      <c r="C27" s="37" t="n">
        <v>17</v>
      </c>
      <c r="D27" s="38">
        <f>0.5^C27</f>
        <v/>
      </c>
      <c r="E27" s="38">
        <f>SUM($D$10:D27)</f>
        <v/>
      </c>
      <c r="F27" s="38" t="n"/>
      <c r="G27" s="38">
        <f>(-0.5)^C27</f>
        <v/>
      </c>
      <c r="H27" s="38">
        <f>SUM($G$10:G27)</f>
        <v/>
      </c>
      <c r="I27" s="38" t="n"/>
      <c r="J27" s="38">
        <f>1^C27</f>
        <v/>
      </c>
      <c r="K27" s="46">
        <f>SUM($J$10:J27)</f>
        <v/>
      </c>
    </row>
    <row r="28">
      <c r="C28" s="37" t="n">
        <v>18</v>
      </c>
      <c r="D28" s="38">
        <f>0.5^C28</f>
        <v/>
      </c>
      <c r="E28" s="38">
        <f>SUM($D$10:D28)</f>
        <v/>
      </c>
      <c r="F28" s="38" t="n"/>
      <c r="G28" s="38">
        <f>(-0.5)^C28</f>
        <v/>
      </c>
      <c r="H28" s="38">
        <f>SUM($G$10:G28)</f>
        <v/>
      </c>
      <c r="I28" s="38" t="n"/>
      <c r="J28" s="38">
        <f>1^C28</f>
        <v/>
      </c>
      <c r="K28" s="46">
        <f>SUM($J$10:J28)</f>
        <v/>
      </c>
    </row>
    <row r="29">
      <c r="C29" s="37" t="n">
        <v>19</v>
      </c>
      <c r="D29" s="38">
        <f>0.5^C29</f>
        <v/>
      </c>
      <c r="E29" s="38">
        <f>SUM($D$10:D29)</f>
        <v/>
      </c>
      <c r="F29" s="38" t="n"/>
      <c r="G29" s="38">
        <f>(-0.5)^C29</f>
        <v/>
      </c>
      <c r="H29" s="38">
        <f>SUM($G$10:G29)</f>
        <v/>
      </c>
      <c r="I29" s="38" t="n"/>
      <c r="J29" s="38">
        <f>1^C29</f>
        <v/>
      </c>
      <c r="K29" s="46">
        <f>SUM($J$10:J29)</f>
        <v/>
      </c>
    </row>
    <row r="30">
      <c r="C30" s="41" t="n">
        <v>20</v>
      </c>
      <c r="D30" s="42">
        <f>0.5^C30</f>
        <v/>
      </c>
      <c r="E30" s="42">
        <f>SUM($D$10:D30)</f>
        <v/>
      </c>
      <c r="F30" s="42" t="n"/>
      <c r="G30" s="42">
        <f>(-0.5)^C30</f>
        <v/>
      </c>
      <c r="H30" s="42">
        <f>SUM($G$10:G30)</f>
        <v/>
      </c>
      <c r="I30" s="42" t="n"/>
      <c r="J30" s="42">
        <f>1^C30</f>
        <v/>
      </c>
      <c r="K30" s="48">
        <f>SUM($J$10:J30)</f>
        <v/>
      </c>
    </row>
    <row r="33">
      <c r="C33" s="44" t="inlineStr">
        <is>
          <t>考察</t>
        </is>
      </c>
      <c r="D33" s="45" t="inlineStr">
        <is>
          <t>一時的な1単位ショックの各期への影響は phi^j である。累積的な影響はその和であり、phi=0.5 では2へ、phi=-0.5 では2/3へ近づく。phi=1 では各期の影響が1のままなので累積和は j+1 となり、有限の値に収束しない。</t>
        </is>
      </c>
    </row>
    <row r="34"/>
    <row r="35"/>
    <row r="36"/>
  </sheetData>
  <mergeCells count="3">
    <mergeCell ref="C2:M2"/>
    <mergeCell ref="D33:M36"/>
    <mergeCell ref="C3:M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System03</dc:creator>
  <dcterms:created xsi:type="dcterms:W3CDTF">2015-06-05T18:19:34Z</dcterms:created>
  <dcterms:modified xsi:type="dcterms:W3CDTF">2026-04-27T04:13:52Z</dcterms:modified>
  <cp:lastModifiedBy>MisakiHiroumi</cp:lastModifiedBy>
</cp:coreProperties>
</file>